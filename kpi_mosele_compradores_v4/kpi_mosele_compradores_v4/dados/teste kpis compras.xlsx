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n Mosele\Desktop\kpi_mosele_compradores_v3\dados\"/>
    </mc:Choice>
  </mc:AlternateContent>
  <xr:revisionPtr revIDLastSave="0" documentId="13_ncr:1_{068CABB9-2C51-4605-B54F-12F62C2384BE}" xr6:coauthVersionLast="47" xr6:coauthVersionMax="47" xr10:uidLastSave="{00000000-0000-0000-0000-000000000000}"/>
  <bookViews>
    <workbookView xWindow="20370" yWindow="-3810" windowWidth="24240" windowHeight="13740" activeTab="1" xr2:uid="{E2893C41-F84A-4358-8E16-02CDFD44AA3E}"/>
  </bookViews>
  <sheets>
    <sheet name="metas comprador" sheetId="2" r:id="rId1"/>
    <sheet name="Base ano anterior" sheetId="3" r:id="rId2"/>
    <sheet name="Base ano atual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4" l="1"/>
  <c r="D44" i="4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42" i="4"/>
  <c r="D43" i="3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42" i="3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C42" i="2"/>
  <c r="C43" i="2"/>
  <c r="C44" i="2"/>
  <c r="C45" i="2"/>
  <c r="C46" i="2"/>
  <c r="C47" i="2"/>
  <c r="C48" i="2"/>
  <c r="C49" i="2"/>
  <c r="C50" i="2" s="1"/>
  <c r="C51" i="2" s="1"/>
  <c r="C52" i="2" s="1"/>
  <c r="C53" i="2" s="1"/>
  <c r="C54" i="2" s="1"/>
  <c r="C55" i="2" s="1"/>
  <c r="C56" i="2" s="1"/>
  <c r="C57" i="2" s="1"/>
  <c r="C58" i="2" s="1"/>
  <c r="C41" i="2"/>
  <c r="D23" i="4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23" i="3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C23" i="2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22" i="2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J19" i="2"/>
  <c r="J20" i="2"/>
  <c r="F20" i="2"/>
  <c r="G20" i="2" s="1"/>
  <c r="H20" i="2" s="1"/>
  <c r="G19" i="2"/>
  <c r="H19" i="2" s="1"/>
  <c r="F19" i="2"/>
  <c r="J18" i="2"/>
  <c r="F18" i="2"/>
  <c r="G18" i="2" s="1"/>
  <c r="H18" i="2" s="1"/>
  <c r="J17" i="2"/>
  <c r="F17" i="2"/>
  <c r="G17" i="2" s="1"/>
  <c r="H17" i="2" s="1"/>
  <c r="J16" i="2"/>
  <c r="F16" i="2"/>
  <c r="G16" i="2" s="1"/>
  <c r="H16" i="2" s="1"/>
  <c r="J15" i="2"/>
  <c r="F15" i="2"/>
  <c r="G15" i="2" s="1"/>
  <c r="H15" i="2" s="1"/>
  <c r="J14" i="2"/>
  <c r="F14" i="2"/>
  <c r="G14" i="2" s="1"/>
  <c r="H14" i="2" s="1"/>
  <c r="J13" i="2"/>
  <c r="F13" i="2"/>
  <c r="G13" i="2" s="1"/>
  <c r="H13" i="2" s="1"/>
  <c r="J12" i="2"/>
  <c r="F12" i="2"/>
  <c r="G12" i="2" s="1"/>
  <c r="H12" i="2" s="1"/>
  <c r="J11" i="2"/>
  <c r="G11" i="2"/>
  <c r="H11" i="2" s="1"/>
  <c r="F11" i="2"/>
  <c r="J10" i="2"/>
  <c r="F10" i="2"/>
  <c r="G10" i="2" s="1"/>
  <c r="H10" i="2" s="1"/>
  <c r="J9" i="2"/>
  <c r="F9" i="2"/>
  <c r="G9" i="2" s="1"/>
  <c r="H9" i="2" s="1"/>
  <c r="J8" i="2"/>
  <c r="F8" i="2"/>
  <c r="G8" i="2" s="1"/>
  <c r="H8" i="2" s="1"/>
  <c r="J7" i="2"/>
  <c r="F7" i="2"/>
  <c r="G7" i="2" s="1"/>
  <c r="H7" i="2" s="1"/>
  <c r="J6" i="2"/>
  <c r="F6" i="2"/>
  <c r="G6" i="2" s="1"/>
  <c r="H6" i="2" s="1"/>
  <c r="J5" i="2"/>
  <c r="F5" i="2"/>
  <c r="G5" i="2" s="1"/>
  <c r="H5" i="2" s="1"/>
  <c r="J4" i="2"/>
  <c r="F4" i="2"/>
  <c r="G4" i="2" s="1"/>
  <c r="H4" i="2" s="1"/>
  <c r="J3" i="2"/>
  <c r="G3" i="2"/>
  <c r="H3" i="2" s="1"/>
  <c r="F3" i="2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J2" i="2"/>
  <c r="F2" i="2"/>
  <c r="G2" i="2" s="1"/>
  <c r="H2" i="2" s="1"/>
</calcChain>
</file>

<file path=xl/sharedStrings.xml><?xml version="1.0" encoding="utf-8"?>
<sst xmlns="http://schemas.openxmlformats.org/spreadsheetml/2006/main" count="463" uniqueCount="54">
  <si>
    <t>Categoria</t>
  </si>
  <si>
    <t>Acougue</t>
  </si>
  <si>
    <t>Bomboniere</t>
  </si>
  <si>
    <t>Hortifruti</t>
  </si>
  <si>
    <t>Limpeza</t>
  </si>
  <si>
    <t>Comprador</t>
  </si>
  <si>
    <t>Mês</t>
  </si>
  <si>
    <t>Venda_Ano_Anterior</t>
  </si>
  <si>
    <t>% Crescimento_Meta</t>
  </si>
  <si>
    <t>Meta_Vendas</t>
  </si>
  <si>
    <t>Compra_Maxima_(72%)</t>
  </si>
  <si>
    <t>Meta_Bonificacao_(2%)</t>
  </si>
  <si>
    <t>Margem_Ano_Anterior</t>
  </si>
  <si>
    <t>Meta_Margem</t>
  </si>
  <si>
    <t>Fábio</t>
  </si>
  <si>
    <t>Mercearia Basica Pesada</t>
  </si>
  <si>
    <t>Março</t>
  </si>
  <si>
    <t>Bebida Fria</t>
  </si>
  <si>
    <t>Bebida Quente</t>
  </si>
  <si>
    <t>Eder  De Souza</t>
  </si>
  <si>
    <t>Frios</t>
  </si>
  <si>
    <t>Laticinios</t>
  </si>
  <si>
    <t>Congelados</t>
  </si>
  <si>
    <t>Éder</t>
  </si>
  <si>
    <t>Mateus Lima</t>
  </si>
  <si>
    <t>Higiene Pessoal / Perfumaria</t>
  </si>
  <si>
    <t>Pet Shop</t>
  </si>
  <si>
    <t>Bazar</t>
  </si>
  <si>
    <t>Samuel Lima</t>
  </si>
  <si>
    <t>Mercearia Basica Leve</t>
  </si>
  <si>
    <t>Mercearia Salgada</t>
  </si>
  <si>
    <t>Mercearia Doce</t>
  </si>
  <si>
    <t>Matinal</t>
  </si>
  <si>
    <t>Mercearia Funcional</t>
  </si>
  <si>
    <t>Padaria</t>
  </si>
  <si>
    <t>Nome Dpto</t>
  </si>
  <si>
    <t xml:space="preserve">Ano </t>
  </si>
  <si>
    <t>Vendas</t>
  </si>
  <si>
    <t>Lucros líq</t>
  </si>
  <si>
    <t>% Lucro</t>
  </si>
  <si>
    <t>Compras</t>
  </si>
  <si>
    <t>Bonific</t>
  </si>
  <si>
    <t/>
  </si>
  <si>
    <t>Líquidas</t>
  </si>
  <si>
    <t>Líquido</t>
  </si>
  <si>
    <t>Entradas</t>
  </si>
  <si>
    <t>Samuel</t>
  </si>
  <si>
    <t>2025</t>
  </si>
  <si>
    <t>Mateus</t>
  </si>
  <si>
    <t>Eder Souza</t>
  </si>
  <si>
    <t>Fabio</t>
  </si>
  <si>
    <t xml:space="preserve">Eder </t>
  </si>
  <si>
    <t>Janeiro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</si>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</sst>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##,##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9" fontId="0" fillId="0" borderId="0" xfId="2" applyFont="1"/>
    <xf numFmtId="49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2" applyFont="1" applyFill="1" applyBorder="1"/>
    <xf numFmtId="44" fontId="0" fillId="3" borderId="1" xfId="1" applyFont="1" applyFill="1" applyBorder="1"/>
    <xf numFmtId="0" fontId="0" fillId="3" borderId="1" xfId="1" applyNumberFormat="1" applyFont="1" applyFill="1" applyBorder="1"/>
    <xf numFmtId="49" fontId="0" fillId="3" borderId="1" xfId="0" applyNumberFormat="1" applyFill="1" applyBorder="1"/>
    <xf numFmtId="164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7FE0-044D-4D8E-A2CD-7FE6788537FE}">
  <dimension ref="A1:J58"/>
  <sheetViews>
    <sheetView topLeftCell="B27" workbookViewId="0">
      <selection activeCell="D60" sqref="D60"/>
    </sheetView>
  </sheetViews>
  <sheetFormatPr defaultRowHeight="15" x14ac:dyDescent="0.25"/>
  <cols>
    <col min="1" max="1" width="24" customWidth="1"/>
    <col min="2" max="2" width="28.85546875" customWidth="1"/>
    <col min="3" max="3" width="15.85546875" customWidth="1"/>
    <col min="4" max="4" width="23.140625" customWidth="1"/>
    <col min="5" max="5" width="22.42578125" style="1" customWidth="1"/>
    <col min="6" max="7" width="24" customWidth="1"/>
    <col min="8" max="8" width="18.85546875" bestFit="1" customWidth="1"/>
    <col min="9" max="9" width="18.140625" customWidth="1"/>
    <col min="10" max="10" width="24" customWidth="1"/>
  </cols>
  <sheetData>
    <row r="1" spans="1:10" ht="30" x14ac:dyDescent="0.25">
      <c r="A1" s="4" t="s">
        <v>5</v>
      </c>
      <c r="B1" s="4" t="s">
        <v>0</v>
      </c>
      <c r="C1" s="4" t="s">
        <v>6</v>
      </c>
      <c r="D1" s="4" t="s">
        <v>7</v>
      </c>
      <c r="E1" s="5" t="s">
        <v>8</v>
      </c>
      <c r="F1" s="4" t="s">
        <v>9</v>
      </c>
      <c r="G1" s="4" t="s">
        <v>10</v>
      </c>
      <c r="H1" s="6" t="s">
        <v>11</v>
      </c>
      <c r="I1" s="6" t="s">
        <v>12</v>
      </c>
      <c r="J1" s="4" t="s">
        <v>13</v>
      </c>
    </row>
    <row r="2" spans="1:10" x14ac:dyDescent="0.25">
      <c r="A2" s="7" t="s">
        <v>14</v>
      </c>
      <c r="B2" s="7" t="s">
        <v>15</v>
      </c>
      <c r="C2" s="7" t="s">
        <v>16</v>
      </c>
      <c r="D2" s="8">
        <v>1351978.62</v>
      </c>
      <c r="E2" s="9">
        <v>0.13</v>
      </c>
      <c r="F2" s="10">
        <f>D2*(1+E2)</f>
        <v>1527735.8406</v>
      </c>
      <c r="G2" s="10">
        <f>F2*0.72</f>
        <v>1099969.8052320001</v>
      </c>
      <c r="H2" s="10">
        <f>G2*0.02</f>
        <v>21999.396104640004</v>
      </c>
      <c r="I2" s="8">
        <v>10.85</v>
      </c>
      <c r="J2" s="11">
        <f>ROUND(IF(I2&lt;=15,I2+1.5,IF(I2&lt;=25,I2+1.2,IF(I2&lt;=35,I2+1,I2+0.8))),2)</f>
        <v>12.35</v>
      </c>
    </row>
    <row r="3" spans="1:10" x14ac:dyDescent="0.25">
      <c r="A3" s="7" t="s">
        <v>14</v>
      </c>
      <c r="B3" s="7" t="s">
        <v>17</v>
      </c>
      <c r="C3" s="7" t="str">
        <f>C2</f>
        <v>Março</v>
      </c>
      <c r="D3" s="8">
        <v>2612709.41</v>
      </c>
      <c r="E3" s="9">
        <v>0.13</v>
      </c>
      <c r="F3" s="10">
        <f t="shared" ref="F3:F58" si="0">D3*(1+E3)</f>
        <v>2952361.6332999999</v>
      </c>
      <c r="G3" s="10">
        <f t="shared" ref="G3:G58" si="1">F3*0.72</f>
        <v>2125700.375976</v>
      </c>
      <c r="H3" s="10">
        <f t="shared" ref="H3:H58" si="2">G3*0.02</f>
        <v>42514.007519519997</v>
      </c>
      <c r="I3" s="8">
        <v>19.95</v>
      </c>
      <c r="J3" s="11">
        <f>ROUND(IF(I3&lt;=15,I3+1.5,IF(I3&lt;=25,I3+1.2,IF(I3&lt;=35,I3+1,I3+0.8))),2)</f>
        <v>21.15</v>
      </c>
    </row>
    <row r="4" spans="1:10" x14ac:dyDescent="0.25">
      <c r="A4" s="7" t="s">
        <v>14</v>
      </c>
      <c r="B4" s="7" t="s">
        <v>18</v>
      </c>
      <c r="C4" s="7" t="str">
        <f t="shared" ref="C4:C20" si="3">C3</f>
        <v>Março</v>
      </c>
      <c r="D4" s="8">
        <v>141241.46</v>
      </c>
      <c r="E4" s="9">
        <v>0.13</v>
      </c>
      <c r="F4" s="10">
        <f t="shared" si="0"/>
        <v>159602.84979999997</v>
      </c>
      <c r="G4" s="10">
        <f t="shared" si="1"/>
        <v>114914.05185599998</v>
      </c>
      <c r="H4" s="10">
        <f t="shared" si="2"/>
        <v>2298.2810371199994</v>
      </c>
      <c r="I4" s="8">
        <v>30.05</v>
      </c>
      <c r="J4" s="11">
        <f t="shared" ref="J4:J58" si="4">ROUND(IF(I4&lt;=15,I4+1.5,IF(I4&lt;=25,I4+1.2,IF(I4&lt;=35,I4+1,I4+0.8))),2)</f>
        <v>31.05</v>
      </c>
    </row>
    <row r="5" spans="1:10" x14ac:dyDescent="0.25">
      <c r="A5" s="7" t="s">
        <v>19</v>
      </c>
      <c r="B5" s="12" t="s">
        <v>1</v>
      </c>
      <c r="C5" s="7" t="str">
        <f t="shared" si="3"/>
        <v>Março</v>
      </c>
      <c r="D5" s="8">
        <v>3255632.72</v>
      </c>
      <c r="E5" s="9">
        <v>0.13</v>
      </c>
      <c r="F5" s="10">
        <f t="shared" si="0"/>
        <v>3678864.9735999997</v>
      </c>
      <c r="G5" s="10">
        <f>F5*0.72</f>
        <v>2648782.7809919999</v>
      </c>
      <c r="H5" s="10">
        <f t="shared" si="2"/>
        <v>52975.655619839999</v>
      </c>
      <c r="I5" s="8">
        <v>24.46</v>
      </c>
      <c r="J5" s="11">
        <f t="shared" si="4"/>
        <v>25.66</v>
      </c>
    </row>
    <row r="6" spans="1:10" x14ac:dyDescent="0.25">
      <c r="A6" s="7" t="s">
        <v>19</v>
      </c>
      <c r="B6" s="12" t="s">
        <v>20</v>
      </c>
      <c r="C6" s="7" t="str">
        <f t="shared" si="3"/>
        <v>Março</v>
      </c>
      <c r="D6" s="8">
        <v>787872.28</v>
      </c>
      <c r="E6" s="9">
        <v>0.13</v>
      </c>
      <c r="F6" s="10">
        <f t="shared" si="0"/>
        <v>890295.6764</v>
      </c>
      <c r="G6" s="10">
        <f t="shared" si="1"/>
        <v>641012.88700799993</v>
      </c>
      <c r="H6" s="10">
        <f>G6*0.02</f>
        <v>12820.257740159999</v>
      </c>
      <c r="I6" s="8">
        <v>29.19</v>
      </c>
      <c r="J6" s="11">
        <f t="shared" si="4"/>
        <v>30.19</v>
      </c>
    </row>
    <row r="7" spans="1:10" x14ac:dyDescent="0.25">
      <c r="A7" s="7" t="s">
        <v>19</v>
      </c>
      <c r="B7" s="12" t="s">
        <v>21</v>
      </c>
      <c r="C7" s="7" t="str">
        <f t="shared" si="3"/>
        <v>Março</v>
      </c>
      <c r="D7" s="8">
        <v>393472.91</v>
      </c>
      <c r="E7" s="9">
        <v>0.13</v>
      </c>
      <c r="F7" s="10">
        <f t="shared" si="0"/>
        <v>444624.38829999993</v>
      </c>
      <c r="G7" s="10">
        <f t="shared" si="1"/>
        <v>320129.55957599991</v>
      </c>
      <c r="H7" s="10">
        <f t="shared" si="2"/>
        <v>6402.5911915199986</v>
      </c>
      <c r="I7" s="8">
        <v>32.93</v>
      </c>
      <c r="J7" s="11">
        <f t="shared" si="4"/>
        <v>33.93</v>
      </c>
    </row>
    <row r="8" spans="1:10" x14ac:dyDescent="0.25">
      <c r="A8" s="7" t="s">
        <v>19</v>
      </c>
      <c r="B8" s="12" t="s">
        <v>22</v>
      </c>
      <c r="C8" s="7" t="str">
        <f t="shared" si="3"/>
        <v>Março</v>
      </c>
      <c r="D8" s="8">
        <v>414596.2</v>
      </c>
      <c r="E8" s="9">
        <v>0.13</v>
      </c>
      <c r="F8" s="10">
        <f t="shared" si="0"/>
        <v>468493.70599999995</v>
      </c>
      <c r="G8" s="10">
        <f t="shared" si="1"/>
        <v>337315.46831999993</v>
      </c>
      <c r="H8" s="10">
        <f t="shared" si="2"/>
        <v>6746.3093663999989</v>
      </c>
      <c r="I8" s="8">
        <v>30.5</v>
      </c>
      <c r="J8" s="11">
        <f t="shared" si="4"/>
        <v>31.5</v>
      </c>
    </row>
    <row r="9" spans="1:10" x14ac:dyDescent="0.25">
      <c r="A9" s="7" t="s">
        <v>23</v>
      </c>
      <c r="B9" s="12" t="s">
        <v>3</v>
      </c>
      <c r="C9" s="7" t="str">
        <f t="shared" si="3"/>
        <v>Março</v>
      </c>
      <c r="D9" s="8">
        <v>1718859.68</v>
      </c>
      <c r="E9" s="9">
        <v>0.13</v>
      </c>
      <c r="F9" s="10">
        <f t="shared" si="0"/>
        <v>1942311.4383999996</v>
      </c>
      <c r="G9" s="10">
        <f t="shared" si="1"/>
        <v>1398464.2356479997</v>
      </c>
      <c r="H9" s="10">
        <f t="shared" si="2"/>
        <v>27969.284712959994</v>
      </c>
      <c r="I9" s="8">
        <v>35.020000000000003</v>
      </c>
      <c r="J9" s="11">
        <f t="shared" si="4"/>
        <v>35.82</v>
      </c>
    </row>
    <row r="10" spans="1:10" x14ac:dyDescent="0.25">
      <c r="A10" s="7" t="s">
        <v>24</v>
      </c>
      <c r="B10" s="12" t="s">
        <v>4</v>
      </c>
      <c r="C10" s="7" t="str">
        <f t="shared" si="3"/>
        <v>Março</v>
      </c>
      <c r="D10" s="8">
        <v>784444.91</v>
      </c>
      <c r="E10" s="9">
        <v>0.13</v>
      </c>
      <c r="F10" s="10">
        <f t="shared" si="0"/>
        <v>886422.74829999998</v>
      </c>
      <c r="G10" s="10">
        <f t="shared" si="1"/>
        <v>638224.378776</v>
      </c>
      <c r="H10" s="10">
        <f t="shared" si="2"/>
        <v>12764.487575520001</v>
      </c>
      <c r="I10" s="8">
        <v>28.72</v>
      </c>
      <c r="J10" s="11">
        <f t="shared" si="4"/>
        <v>29.72</v>
      </c>
    </row>
    <row r="11" spans="1:10" x14ac:dyDescent="0.25">
      <c r="A11" s="7" t="s">
        <v>24</v>
      </c>
      <c r="B11" s="12" t="s">
        <v>25</v>
      </c>
      <c r="C11" s="7" t="str">
        <f t="shared" si="3"/>
        <v>Março</v>
      </c>
      <c r="D11" s="8">
        <v>920337.01</v>
      </c>
      <c r="E11" s="9">
        <v>0.13</v>
      </c>
      <c r="F11" s="10">
        <f t="shared" si="0"/>
        <v>1039980.8213</v>
      </c>
      <c r="G11" s="10">
        <f t="shared" si="1"/>
        <v>748786.19133599999</v>
      </c>
      <c r="H11" s="10">
        <f t="shared" si="2"/>
        <v>14975.723826720001</v>
      </c>
      <c r="I11" s="8">
        <v>38</v>
      </c>
      <c r="J11" s="11">
        <f t="shared" si="4"/>
        <v>38.799999999999997</v>
      </c>
    </row>
    <row r="12" spans="1:10" x14ac:dyDescent="0.25">
      <c r="A12" s="7" t="s">
        <v>24</v>
      </c>
      <c r="B12" s="12" t="s">
        <v>26</v>
      </c>
      <c r="C12" s="7" t="str">
        <f t="shared" si="3"/>
        <v>Março</v>
      </c>
      <c r="D12" s="8">
        <v>51806.64</v>
      </c>
      <c r="E12" s="9">
        <v>0.13</v>
      </c>
      <c r="F12" s="10">
        <f t="shared" si="0"/>
        <v>58541.503199999992</v>
      </c>
      <c r="G12" s="10">
        <f t="shared" si="1"/>
        <v>42149.882303999992</v>
      </c>
      <c r="H12" s="10">
        <f t="shared" si="2"/>
        <v>842.99764607999987</v>
      </c>
      <c r="I12" s="8">
        <v>29.47</v>
      </c>
      <c r="J12" s="11">
        <f t="shared" si="4"/>
        <v>30.47</v>
      </c>
    </row>
    <row r="13" spans="1:10" x14ac:dyDescent="0.25">
      <c r="A13" s="7" t="s">
        <v>24</v>
      </c>
      <c r="B13" s="12" t="s">
        <v>27</v>
      </c>
      <c r="C13" s="7" t="str">
        <f t="shared" si="3"/>
        <v>Março</v>
      </c>
      <c r="D13" s="8">
        <v>411572.67</v>
      </c>
      <c r="E13" s="9">
        <v>0.13</v>
      </c>
      <c r="F13" s="10">
        <f t="shared" si="0"/>
        <v>465077.11709999992</v>
      </c>
      <c r="G13" s="10">
        <f t="shared" si="1"/>
        <v>334855.52431199991</v>
      </c>
      <c r="H13" s="10">
        <f t="shared" si="2"/>
        <v>6697.110486239998</v>
      </c>
      <c r="I13" s="8">
        <v>29.96</v>
      </c>
      <c r="J13" s="11">
        <f t="shared" si="4"/>
        <v>30.96</v>
      </c>
    </row>
    <row r="14" spans="1:10" x14ac:dyDescent="0.25">
      <c r="A14" s="7" t="s">
        <v>28</v>
      </c>
      <c r="B14" s="12" t="s">
        <v>29</v>
      </c>
      <c r="C14" s="7" t="str">
        <f t="shared" si="3"/>
        <v>Março</v>
      </c>
      <c r="D14" s="8">
        <v>137166.37</v>
      </c>
      <c r="E14" s="9">
        <v>0.13</v>
      </c>
      <c r="F14" s="10">
        <f t="shared" si="0"/>
        <v>154997.99809999997</v>
      </c>
      <c r="G14" s="10">
        <f t="shared" si="1"/>
        <v>111598.55863199997</v>
      </c>
      <c r="H14" s="10">
        <f t="shared" si="2"/>
        <v>2231.9711726399996</v>
      </c>
      <c r="I14" s="8">
        <v>34.119999999999997</v>
      </c>
      <c r="J14" s="11">
        <f t="shared" si="4"/>
        <v>35.119999999999997</v>
      </c>
    </row>
    <row r="15" spans="1:10" x14ac:dyDescent="0.25">
      <c r="A15" s="7" t="s">
        <v>28</v>
      </c>
      <c r="B15" s="12" t="s">
        <v>30</v>
      </c>
      <c r="C15" s="7" t="str">
        <f t="shared" si="3"/>
        <v>Março</v>
      </c>
      <c r="D15" s="8">
        <v>991888.93</v>
      </c>
      <c r="E15" s="9">
        <v>0.13</v>
      </c>
      <c r="F15" s="10">
        <f t="shared" si="0"/>
        <v>1120834.4908999999</v>
      </c>
      <c r="G15" s="10">
        <f t="shared" si="1"/>
        <v>807000.8334479999</v>
      </c>
      <c r="H15" s="10">
        <f t="shared" si="2"/>
        <v>16140.016668959999</v>
      </c>
      <c r="I15" s="8">
        <v>33.71</v>
      </c>
      <c r="J15" s="11">
        <f t="shared" si="4"/>
        <v>34.71</v>
      </c>
    </row>
    <row r="16" spans="1:10" x14ac:dyDescent="0.25">
      <c r="A16" s="7" t="s">
        <v>28</v>
      </c>
      <c r="B16" s="12" t="s">
        <v>31</v>
      </c>
      <c r="C16" s="7" t="str">
        <f t="shared" si="3"/>
        <v>Março</v>
      </c>
      <c r="D16" s="8">
        <v>848374.31</v>
      </c>
      <c r="E16" s="9">
        <v>0.13</v>
      </c>
      <c r="F16" s="10">
        <f t="shared" si="0"/>
        <v>958662.97029999993</v>
      </c>
      <c r="G16" s="10">
        <f t="shared" si="1"/>
        <v>690237.33861599991</v>
      </c>
      <c r="H16" s="10">
        <f t="shared" si="2"/>
        <v>13804.746772319999</v>
      </c>
      <c r="I16" s="8">
        <v>28.38</v>
      </c>
      <c r="J16" s="11">
        <f t="shared" si="4"/>
        <v>29.38</v>
      </c>
    </row>
    <row r="17" spans="1:10" x14ac:dyDescent="0.25">
      <c r="A17" s="7" t="s">
        <v>28</v>
      </c>
      <c r="B17" s="12" t="s">
        <v>32</v>
      </c>
      <c r="C17" s="7" t="str">
        <f t="shared" si="3"/>
        <v>Março</v>
      </c>
      <c r="D17" s="8">
        <v>476053.38</v>
      </c>
      <c r="E17" s="9">
        <v>0.13</v>
      </c>
      <c r="F17" s="10">
        <f t="shared" si="0"/>
        <v>537940.31939999992</v>
      </c>
      <c r="G17" s="10">
        <f t="shared" si="1"/>
        <v>387317.0299679999</v>
      </c>
      <c r="H17" s="10">
        <f t="shared" si="2"/>
        <v>7746.3405993599981</v>
      </c>
      <c r="I17" s="8">
        <v>19.87</v>
      </c>
      <c r="J17" s="11">
        <f t="shared" si="4"/>
        <v>21.07</v>
      </c>
    </row>
    <row r="18" spans="1:10" x14ac:dyDescent="0.25">
      <c r="A18" s="7" t="s">
        <v>28</v>
      </c>
      <c r="B18" s="12" t="s">
        <v>2</v>
      </c>
      <c r="C18" s="7" t="str">
        <f t="shared" si="3"/>
        <v>Março</v>
      </c>
      <c r="D18" s="8">
        <v>472309.88</v>
      </c>
      <c r="E18" s="9">
        <v>0.13</v>
      </c>
      <c r="F18" s="10">
        <f t="shared" si="0"/>
        <v>533710.16440000001</v>
      </c>
      <c r="G18" s="10">
        <f t="shared" si="1"/>
        <v>384271.31836799998</v>
      </c>
      <c r="H18" s="10">
        <f t="shared" si="2"/>
        <v>7685.4263673599999</v>
      </c>
      <c r="I18" s="8">
        <v>30.87</v>
      </c>
      <c r="J18" s="11">
        <f t="shared" si="4"/>
        <v>31.87</v>
      </c>
    </row>
    <row r="19" spans="1:10" x14ac:dyDescent="0.25">
      <c r="A19" s="7" t="s">
        <v>28</v>
      </c>
      <c r="B19" s="12" t="s">
        <v>33</v>
      </c>
      <c r="C19" s="7" t="str">
        <f t="shared" si="3"/>
        <v>Março</v>
      </c>
      <c r="D19" s="8">
        <v>34835.35</v>
      </c>
      <c r="E19" s="9">
        <v>0.13</v>
      </c>
      <c r="F19" s="10">
        <f t="shared" si="0"/>
        <v>39363.945499999994</v>
      </c>
      <c r="G19" s="10">
        <f t="shared" si="1"/>
        <v>28342.040759999996</v>
      </c>
      <c r="H19" s="10">
        <f t="shared" si="2"/>
        <v>566.84081519999995</v>
      </c>
      <c r="I19" s="8">
        <v>32.46</v>
      </c>
      <c r="J19" s="11">
        <f>ROUND(IF(I19&lt;=15,I19+1.5,IF(I19&lt;=25,I19+1.2,IF(I19&lt;=35,I19+1,I19+0.8))),2)</f>
        <v>33.46</v>
      </c>
    </row>
    <row r="20" spans="1:10" x14ac:dyDescent="0.25">
      <c r="A20" s="7" t="s">
        <v>28</v>
      </c>
      <c r="B20" s="12" t="s">
        <v>34</v>
      </c>
      <c r="C20" s="7" t="str">
        <f t="shared" si="3"/>
        <v>Março</v>
      </c>
      <c r="D20" s="8">
        <v>461330.13</v>
      </c>
      <c r="E20" s="9">
        <v>0.13</v>
      </c>
      <c r="F20" s="10">
        <f t="shared" si="0"/>
        <v>521303.04689999996</v>
      </c>
      <c r="G20" s="10">
        <f t="shared" si="1"/>
        <v>375338.19376799994</v>
      </c>
      <c r="H20" s="10">
        <f t="shared" si="2"/>
        <v>7506.7638753599986</v>
      </c>
      <c r="I20" s="8">
        <v>37.020000000000003</v>
      </c>
      <c r="J20" s="11">
        <f t="shared" si="4"/>
        <v>37.82</v>
      </c>
    </row>
    <row r="21" spans="1:10" x14ac:dyDescent="0.25">
      <c r="A21" s="7" t="s">
        <v>14</v>
      </c>
      <c r="B21" s="7" t="s">
        <v>15</v>
      </c>
      <c r="C21" s="14" t="s">
        <v>52</v>
      </c>
      <c r="D21" s="13">
        <v>1416708.35</v>
      </c>
      <c r="E21" s="9">
        <v>0.13</v>
      </c>
      <c r="F21" s="10">
        <f t="shared" si="0"/>
        <v>1600880.4354999999</v>
      </c>
      <c r="G21" s="10">
        <f t="shared" si="1"/>
        <v>1152633.9135599998</v>
      </c>
      <c r="H21" s="10">
        <f t="shared" si="2"/>
        <v>23052.678271199995</v>
      </c>
      <c r="I21" s="13">
        <v>10.83</v>
      </c>
      <c r="J21" s="11">
        <f t="shared" si="4"/>
        <v>12.33</v>
      </c>
    </row>
    <row r="22" spans="1:10" x14ac:dyDescent="0.25">
      <c r="A22" s="7" t="s">
        <v>14</v>
      </c>
      <c r="B22" s="7" t="s">
        <v>17</v>
      </c>
      <c r="C22" s="14" t="str">
        <f>C21</f>
        <v>Janeiro</v>
      </c>
      <c r="D22" s="13">
        <v>2199691.46</v>
      </c>
      <c r="E22" s="9">
        <v>0.13</v>
      </c>
      <c r="F22" s="10">
        <f t="shared" si="0"/>
        <v>2485651.3497999995</v>
      </c>
      <c r="G22" s="10">
        <f t="shared" si="1"/>
        <v>1789668.9718559997</v>
      </c>
      <c r="H22" s="10">
        <f t="shared" si="2"/>
        <v>35793.379437119991</v>
      </c>
      <c r="I22" s="13">
        <v>20.440000000000001</v>
      </c>
      <c r="J22" s="11">
        <f t="shared" si="4"/>
        <v>21.64</v>
      </c>
    </row>
    <row r="23" spans="1:10" x14ac:dyDescent="0.25">
      <c r="A23" s="7" t="s">
        <v>14</v>
      </c>
      <c r="B23" s="7" t="s">
        <v>18</v>
      </c>
      <c r="C23" s="14" t="str">
        <f t="shared" ref="C23:C39" si="5">C22</f>
        <v>Janeiro</v>
      </c>
      <c r="D23" s="13">
        <v>123998.81</v>
      </c>
      <c r="E23" s="9">
        <v>0.13</v>
      </c>
      <c r="F23" s="10">
        <f t="shared" si="0"/>
        <v>140118.65529999998</v>
      </c>
      <c r="G23" s="10">
        <f t="shared" si="1"/>
        <v>100885.43181599998</v>
      </c>
      <c r="H23" s="10">
        <f t="shared" si="2"/>
        <v>2017.7086363199996</v>
      </c>
      <c r="I23" s="13">
        <v>30.12</v>
      </c>
      <c r="J23" s="11">
        <f t="shared" si="4"/>
        <v>31.12</v>
      </c>
    </row>
    <row r="24" spans="1:10" x14ac:dyDescent="0.25">
      <c r="A24" s="7" t="s">
        <v>19</v>
      </c>
      <c r="B24" s="12" t="s">
        <v>1</v>
      </c>
      <c r="C24" s="14" t="str">
        <f t="shared" si="5"/>
        <v>Janeiro</v>
      </c>
      <c r="D24" s="13">
        <v>3063898.46</v>
      </c>
      <c r="E24" s="9">
        <v>0.13</v>
      </c>
      <c r="F24" s="10">
        <f t="shared" si="0"/>
        <v>3462205.2597999997</v>
      </c>
      <c r="G24" s="10">
        <f t="shared" si="1"/>
        <v>2492787.7870559995</v>
      </c>
      <c r="H24" s="10">
        <f t="shared" si="2"/>
        <v>49855.755741119989</v>
      </c>
      <c r="I24" s="13">
        <v>20.51</v>
      </c>
      <c r="J24" s="11">
        <f t="shared" si="4"/>
        <v>21.71</v>
      </c>
    </row>
    <row r="25" spans="1:10" x14ac:dyDescent="0.25">
      <c r="A25" s="7" t="s">
        <v>19</v>
      </c>
      <c r="B25" s="12" t="s">
        <v>20</v>
      </c>
      <c r="C25" s="14" t="str">
        <f t="shared" si="5"/>
        <v>Janeiro</v>
      </c>
      <c r="D25" s="13">
        <v>747195.54</v>
      </c>
      <c r="E25" s="9">
        <v>0.13</v>
      </c>
      <c r="F25" s="10">
        <f t="shared" si="0"/>
        <v>844330.96019999997</v>
      </c>
      <c r="G25" s="10">
        <f t="shared" si="1"/>
        <v>607918.29134399991</v>
      </c>
      <c r="H25" s="10">
        <f t="shared" si="2"/>
        <v>12158.365826879999</v>
      </c>
      <c r="I25" s="13">
        <v>30.65</v>
      </c>
      <c r="J25" s="11">
        <f t="shared" si="4"/>
        <v>31.65</v>
      </c>
    </row>
    <row r="26" spans="1:10" x14ac:dyDescent="0.25">
      <c r="A26" s="7" t="s">
        <v>19</v>
      </c>
      <c r="B26" s="12" t="s">
        <v>21</v>
      </c>
      <c r="C26" s="14" t="str">
        <f t="shared" si="5"/>
        <v>Janeiro</v>
      </c>
      <c r="D26" s="13">
        <v>373438.07</v>
      </c>
      <c r="E26" s="9">
        <v>0.13</v>
      </c>
      <c r="F26" s="10">
        <f t="shared" si="0"/>
        <v>421985.01909999998</v>
      </c>
      <c r="G26" s="10">
        <f t="shared" si="1"/>
        <v>303829.21375199995</v>
      </c>
      <c r="H26" s="10">
        <f t="shared" si="2"/>
        <v>6076.5842750399988</v>
      </c>
      <c r="I26" s="13">
        <v>33.200000000000003</v>
      </c>
      <c r="J26" s="11">
        <f t="shared" si="4"/>
        <v>34.200000000000003</v>
      </c>
    </row>
    <row r="27" spans="1:10" x14ac:dyDescent="0.25">
      <c r="A27" s="7" t="s">
        <v>19</v>
      </c>
      <c r="B27" s="12" t="s">
        <v>22</v>
      </c>
      <c r="C27" s="14" t="str">
        <f t="shared" si="5"/>
        <v>Janeiro</v>
      </c>
      <c r="D27" s="13">
        <v>392890.31</v>
      </c>
      <c r="E27" s="9">
        <v>0.13</v>
      </c>
      <c r="F27" s="10">
        <f t="shared" si="0"/>
        <v>443966.05029999994</v>
      </c>
      <c r="G27" s="10">
        <f t="shared" si="1"/>
        <v>319655.55621599994</v>
      </c>
      <c r="H27" s="10">
        <f t="shared" si="2"/>
        <v>6393.1111243199994</v>
      </c>
      <c r="I27" s="13">
        <v>28.31</v>
      </c>
      <c r="J27" s="11">
        <f t="shared" si="4"/>
        <v>29.31</v>
      </c>
    </row>
    <row r="28" spans="1:10" x14ac:dyDescent="0.25">
      <c r="A28" s="7" t="s">
        <v>23</v>
      </c>
      <c r="B28" s="12" t="s">
        <v>3</v>
      </c>
      <c r="C28" s="14" t="str">
        <f t="shared" si="5"/>
        <v>Janeiro</v>
      </c>
      <c r="D28" s="13">
        <v>1644156.93</v>
      </c>
      <c r="E28" s="9">
        <v>0.13</v>
      </c>
      <c r="F28" s="10">
        <f t="shared" si="0"/>
        <v>1857897.3308999997</v>
      </c>
      <c r="G28" s="10">
        <f t="shared" si="1"/>
        <v>1337686.0782479998</v>
      </c>
      <c r="H28" s="10">
        <f t="shared" si="2"/>
        <v>26753.721564959997</v>
      </c>
      <c r="I28" s="13">
        <v>35.11</v>
      </c>
      <c r="J28" s="11">
        <f t="shared" si="4"/>
        <v>35.909999999999997</v>
      </c>
    </row>
    <row r="29" spans="1:10" x14ac:dyDescent="0.25">
      <c r="A29" s="7" t="s">
        <v>24</v>
      </c>
      <c r="B29" s="12" t="s">
        <v>4</v>
      </c>
      <c r="C29" s="14" t="str">
        <f t="shared" si="5"/>
        <v>Janeiro</v>
      </c>
      <c r="D29" s="13">
        <v>825623.45</v>
      </c>
      <c r="E29" s="9">
        <v>0.13</v>
      </c>
      <c r="F29" s="10">
        <f t="shared" si="0"/>
        <v>932954.49849999987</v>
      </c>
      <c r="G29" s="10">
        <f t="shared" si="1"/>
        <v>671727.23891999992</v>
      </c>
      <c r="H29" s="10">
        <f t="shared" si="2"/>
        <v>13434.544778399999</v>
      </c>
      <c r="I29" s="13">
        <v>29.19</v>
      </c>
      <c r="J29" s="11">
        <f t="shared" si="4"/>
        <v>30.19</v>
      </c>
    </row>
    <row r="30" spans="1:10" x14ac:dyDescent="0.25">
      <c r="A30" s="7" t="s">
        <v>24</v>
      </c>
      <c r="B30" s="12" t="s">
        <v>25</v>
      </c>
      <c r="C30" s="14" t="str">
        <f t="shared" si="5"/>
        <v>Janeiro</v>
      </c>
      <c r="D30" s="13">
        <v>918441.52</v>
      </c>
      <c r="E30" s="9">
        <v>0.13</v>
      </c>
      <c r="F30" s="10">
        <f t="shared" si="0"/>
        <v>1037838.9175999999</v>
      </c>
      <c r="G30" s="10">
        <f t="shared" si="1"/>
        <v>747244.0206719999</v>
      </c>
      <c r="H30" s="10">
        <f t="shared" si="2"/>
        <v>14944.880413439998</v>
      </c>
      <c r="I30" s="13">
        <v>36.56</v>
      </c>
      <c r="J30" s="11">
        <f t="shared" si="4"/>
        <v>37.36</v>
      </c>
    </row>
    <row r="31" spans="1:10" x14ac:dyDescent="0.25">
      <c r="A31" s="7" t="s">
        <v>24</v>
      </c>
      <c r="B31" s="12" t="s">
        <v>26</v>
      </c>
      <c r="C31" s="14" t="str">
        <f t="shared" si="5"/>
        <v>Janeiro</v>
      </c>
      <c r="D31" s="13">
        <v>46069.4</v>
      </c>
      <c r="E31" s="9">
        <v>0.13</v>
      </c>
      <c r="F31" s="10">
        <f t="shared" si="0"/>
        <v>52058.421999999999</v>
      </c>
      <c r="G31" s="10">
        <f t="shared" si="1"/>
        <v>37482.063839999995</v>
      </c>
      <c r="H31" s="10">
        <f t="shared" si="2"/>
        <v>749.6412767999999</v>
      </c>
      <c r="I31" s="13">
        <v>27.44</v>
      </c>
      <c r="J31" s="11">
        <f t="shared" si="4"/>
        <v>28.44</v>
      </c>
    </row>
    <row r="32" spans="1:10" x14ac:dyDescent="0.25">
      <c r="A32" s="7" t="s">
        <v>24</v>
      </c>
      <c r="B32" s="12" t="s">
        <v>27</v>
      </c>
      <c r="C32" s="14" t="str">
        <f t="shared" si="5"/>
        <v>Janeiro</v>
      </c>
      <c r="D32" s="13">
        <v>356653.85</v>
      </c>
      <c r="E32" s="9">
        <v>0.13</v>
      </c>
      <c r="F32" s="10">
        <f t="shared" si="0"/>
        <v>403018.85049999994</v>
      </c>
      <c r="G32" s="10">
        <f t="shared" si="1"/>
        <v>290173.57235999993</v>
      </c>
      <c r="H32" s="10">
        <f t="shared" si="2"/>
        <v>5803.4714471999987</v>
      </c>
      <c r="I32" s="13">
        <v>30.83</v>
      </c>
      <c r="J32" s="11">
        <f t="shared" si="4"/>
        <v>31.83</v>
      </c>
    </row>
    <row r="33" spans="1:10" x14ac:dyDescent="0.25">
      <c r="A33" s="7" t="s">
        <v>28</v>
      </c>
      <c r="B33" s="12" t="s">
        <v>29</v>
      </c>
      <c r="C33" s="14" t="str">
        <f t="shared" si="5"/>
        <v>Janeiro</v>
      </c>
      <c r="D33" s="13">
        <v>127921.07</v>
      </c>
      <c r="E33" s="9">
        <v>0.13</v>
      </c>
      <c r="F33" s="10">
        <f t="shared" si="0"/>
        <v>144550.80909999998</v>
      </c>
      <c r="G33" s="10">
        <f t="shared" si="1"/>
        <v>104076.58255199998</v>
      </c>
      <c r="H33" s="10">
        <f t="shared" si="2"/>
        <v>2081.5316510399998</v>
      </c>
      <c r="I33" s="13">
        <v>28.99</v>
      </c>
      <c r="J33" s="11">
        <f t="shared" si="4"/>
        <v>29.99</v>
      </c>
    </row>
    <row r="34" spans="1:10" x14ac:dyDescent="0.25">
      <c r="A34" s="7" t="s">
        <v>28</v>
      </c>
      <c r="B34" s="12" t="s">
        <v>30</v>
      </c>
      <c r="C34" s="14" t="str">
        <f t="shared" si="5"/>
        <v>Janeiro</v>
      </c>
      <c r="D34" s="13">
        <v>910069.28</v>
      </c>
      <c r="E34" s="9">
        <v>0.13</v>
      </c>
      <c r="F34" s="10">
        <f t="shared" si="0"/>
        <v>1028378.2864</v>
      </c>
      <c r="G34" s="10">
        <f t="shared" si="1"/>
        <v>740432.36620799999</v>
      </c>
      <c r="H34" s="10">
        <f t="shared" si="2"/>
        <v>14808.64732416</v>
      </c>
      <c r="I34" s="13">
        <v>35.24</v>
      </c>
      <c r="J34" s="11">
        <f t="shared" si="4"/>
        <v>36.04</v>
      </c>
    </row>
    <row r="35" spans="1:10" x14ac:dyDescent="0.25">
      <c r="A35" s="7" t="s">
        <v>28</v>
      </c>
      <c r="B35" s="12" t="s">
        <v>31</v>
      </c>
      <c r="C35" s="14" t="str">
        <f t="shared" si="5"/>
        <v>Janeiro</v>
      </c>
      <c r="D35" s="13">
        <v>785186.9</v>
      </c>
      <c r="E35" s="9">
        <v>0.13</v>
      </c>
      <c r="F35" s="10">
        <f t="shared" si="0"/>
        <v>887261.19699999993</v>
      </c>
      <c r="G35" s="10">
        <f t="shared" si="1"/>
        <v>638828.06183999998</v>
      </c>
      <c r="H35" s="10">
        <f t="shared" si="2"/>
        <v>12776.5612368</v>
      </c>
      <c r="I35" s="13">
        <v>28.27</v>
      </c>
      <c r="J35" s="11">
        <f t="shared" si="4"/>
        <v>29.27</v>
      </c>
    </row>
    <row r="36" spans="1:10" x14ac:dyDescent="0.25">
      <c r="A36" s="7" t="s">
        <v>28</v>
      </c>
      <c r="B36" s="12" t="s">
        <v>32</v>
      </c>
      <c r="C36" s="14" t="str">
        <f t="shared" si="5"/>
        <v>Janeiro</v>
      </c>
      <c r="D36" s="13">
        <v>474388.36</v>
      </c>
      <c r="E36" s="9">
        <v>0.13</v>
      </c>
      <c r="F36" s="10">
        <f t="shared" si="0"/>
        <v>536058.84679999994</v>
      </c>
      <c r="G36" s="10">
        <f t="shared" si="1"/>
        <v>385962.36969599995</v>
      </c>
      <c r="H36" s="10">
        <f t="shared" si="2"/>
        <v>7719.247393919999</v>
      </c>
      <c r="I36" s="13">
        <v>25.86</v>
      </c>
      <c r="J36" s="11">
        <f t="shared" si="4"/>
        <v>26.86</v>
      </c>
    </row>
    <row r="37" spans="1:10" x14ac:dyDescent="0.25">
      <c r="A37" s="7" t="s">
        <v>28</v>
      </c>
      <c r="B37" s="12" t="s">
        <v>2</v>
      </c>
      <c r="C37" s="14" t="str">
        <f t="shared" si="5"/>
        <v>Janeiro</v>
      </c>
      <c r="D37" s="13">
        <v>407614.96</v>
      </c>
      <c r="E37" s="9">
        <v>0.13</v>
      </c>
      <c r="F37" s="10">
        <f t="shared" si="0"/>
        <v>460604.90479999996</v>
      </c>
      <c r="G37" s="10">
        <f t="shared" si="1"/>
        <v>331635.53145599994</v>
      </c>
      <c r="H37" s="10">
        <f t="shared" si="2"/>
        <v>6632.7106291199989</v>
      </c>
      <c r="I37" s="13">
        <v>30.16</v>
      </c>
      <c r="J37" s="11">
        <f t="shared" si="4"/>
        <v>31.16</v>
      </c>
    </row>
    <row r="38" spans="1:10" x14ac:dyDescent="0.25">
      <c r="A38" s="7" t="s">
        <v>28</v>
      </c>
      <c r="B38" s="12" t="s">
        <v>33</v>
      </c>
      <c r="C38" s="14" t="str">
        <f t="shared" si="5"/>
        <v>Janeiro</v>
      </c>
      <c r="D38" s="13">
        <v>26804.43</v>
      </c>
      <c r="E38" s="9">
        <v>0.13</v>
      </c>
      <c r="F38" s="10">
        <f t="shared" si="0"/>
        <v>30289.005899999996</v>
      </c>
      <c r="G38" s="10">
        <f t="shared" si="1"/>
        <v>21808.084247999996</v>
      </c>
      <c r="H38" s="10">
        <f t="shared" si="2"/>
        <v>436.16168495999995</v>
      </c>
      <c r="I38" s="13">
        <v>31.21</v>
      </c>
      <c r="J38" s="11">
        <f t="shared" si="4"/>
        <v>32.21</v>
      </c>
    </row>
    <row r="39" spans="1:10" x14ac:dyDescent="0.25">
      <c r="A39" s="7" t="s">
        <v>28</v>
      </c>
      <c r="B39" s="12" t="s">
        <v>34</v>
      </c>
      <c r="C39" s="14" t="str">
        <f t="shared" si="5"/>
        <v>Janeiro</v>
      </c>
      <c r="D39" s="13">
        <v>435985.53</v>
      </c>
      <c r="E39" s="9">
        <v>0.13</v>
      </c>
      <c r="F39" s="10">
        <f t="shared" si="0"/>
        <v>492663.64889999997</v>
      </c>
      <c r="G39" s="10">
        <f t="shared" si="1"/>
        <v>354717.82720799994</v>
      </c>
      <c r="H39" s="10">
        <f t="shared" si="2"/>
        <v>7094.3565441599994</v>
      </c>
      <c r="I39" s="13">
        <v>38.31</v>
      </c>
      <c r="J39" s="11">
        <f t="shared" si="4"/>
        <v>39.11</v>
      </c>
    </row>
    <row r="40" spans="1:10" x14ac:dyDescent="0.25">
      <c r="A40" s="7" t="s">
        <v>14</v>
      </c>
      <c r="B40" s="7" t="s">
        <v>15</v>
      </c>
      <c r="C40" s="14" t="s">
        <v>53</v>
      </c>
      <c r="D40" s="13">
        <v>1236632.8600000001</v>
      </c>
      <c r="E40" s="9">
        <v>0.13</v>
      </c>
      <c r="F40" s="10">
        <f t="shared" si="0"/>
        <v>1397395.1318000001</v>
      </c>
      <c r="G40" s="10">
        <f t="shared" si="1"/>
        <v>1006124.494896</v>
      </c>
      <c r="H40" s="10">
        <f t="shared" si="2"/>
        <v>20122.489897920001</v>
      </c>
      <c r="I40" s="13">
        <v>13.67</v>
      </c>
      <c r="J40" s="11">
        <f t="shared" si="4"/>
        <v>15.17</v>
      </c>
    </row>
    <row r="41" spans="1:10" x14ac:dyDescent="0.25">
      <c r="A41" s="7" t="s">
        <v>14</v>
      </c>
      <c r="B41" s="7" t="s">
        <v>17</v>
      </c>
      <c r="C41" s="14" t="str">
        <f>C40</f>
        <v>Fevereiro</v>
      </c>
      <c r="D41" s="13">
        <v>2237711.7999999998</v>
      </c>
      <c r="E41" s="9">
        <v>0.13</v>
      </c>
      <c r="F41" s="10">
        <f t="shared" si="0"/>
        <v>2528614.3339999993</v>
      </c>
      <c r="G41" s="10">
        <f t="shared" si="1"/>
        <v>1820602.3204799995</v>
      </c>
      <c r="H41" s="10">
        <f t="shared" si="2"/>
        <v>36412.046409599992</v>
      </c>
      <c r="I41" s="13">
        <v>20.149999999999999</v>
      </c>
      <c r="J41" s="11">
        <f t="shared" si="4"/>
        <v>21.35</v>
      </c>
    </row>
    <row r="42" spans="1:10" x14ac:dyDescent="0.25">
      <c r="A42" s="7" t="s">
        <v>14</v>
      </c>
      <c r="B42" s="7" t="s">
        <v>18</v>
      </c>
      <c r="C42" s="14" t="str">
        <f t="shared" ref="C42:C58" si="6">C41</f>
        <v>Fevereiro</v>
      </c>
      <c r="D42" s="13">
        <v>137488.89000000001</v>
      </c>
      <c r="E42" s="9">
        <v>0.13</v>
      </c>
      <c r="F42" s="10">
        <f t="shared" si="0"/>
        <v>155362.44570000001</v>
      </c>
      <c r="G42" s="10">
        <f t="shared" si="1"/>
        <v>111860.96090400001</v>
      </c>
      <c r="H42" s="10">
        <f t="shared" si="2"/>
        <v>2237.2192180800002</v>
      </c>
      <c r="I42" s="13">
        <v>30.34</v>
      </c>
      <c r="J42" s="11">
        <f t="shared" si="4"/>
        <v>31.34</v>
      </c>
    </row>
    <row r="43" spans="1:10" x14ac:dyDescent="0.25">
      <c r="A43" s="7" t="s">
        <v>19</v>
      </c>
      <c r="B43" s="12" t="s">
        <v>1</v>
      </c>
      <c r="C43" s="14" t="str">
        <f t="shared" si="6"/>
        <v>Fevereiro</v>
      </c>
      <c r="D43" s="13">
        <v>2915247.43</v>
      </c>
      <c r="E43" s="9">
        <v>0.13</v>
      </c>
      <c r="F43" s="10">
        <f t="shared" si="0"/>
        <v>3294229.5959000001</v>
      </c>
      <c r="G43" s="10">
        <f t="shared" si="1"/>
        <v>2371845.3090479998</v>
      </c>
      <c r="H43" s="10">
        <f t="shared" si="2"/>
        <v>47436.906180959995</v>
      </c>
      <c r="I43" s="13">
        <v>21.81</v>
      </c>
      <c r="J43" s="11">
        <f t="shared" si="4"/>
        <v>23.01</v>
      </c>
    </row>
    <row r="44" spans="1:10" x14ac:dyDescent="0.25">
      <c r="A44" s="7" t="s">
        <v>19</v>
      </c>
      <c r="B44" s="12" t="s">
        <v>20</v>
      </c>
      <c r="C44" s="14" t="str">
        <f t="shared" si="6"/>
        <v>Fevereiro</v>
      </c>
      <c r="D44" s="13">
        <v>709509.79</v>
      </c>
      <c r="E44" s="9">
        <v>0.13</v>
      </c>
      <c r="F44" s="10">
        <f t="shared" si="0"/>
        <v>801746.06270000001</v>
      </c>
      <c r="G44" s="10">
        <f t="shared" si="1"/>
        <v>577257.16514399997</v>
      </c>
      <c r="H44" s="10">
        <f t="shared" si="2"/>
        <v>11545.14330288</v>
      </c>
      <c r="I44" s="13">
        <v>29.48</v>
      </c>
      <c r="J44" s="11">
        <f t="shared" si="4"/>
        <v>30.48</v>
      </c>
    </row>
    <row r="45" spans="1:10" x14ac:dyDescent="0.25">
      <c r="A45" s="7" t="s">
        <v>19</v>
      </c>
      <c r="B45" s="12" t="s">
        <v>21</v>
      </c>
      <c r="C45" s="14" t="str">
        <f t="shared" si="6"/>
        <v>Fevereiro</v>
      </c>
      <c r="D45" s="13">
        <v>349857.47</v>
      </c>
      <c r="E45" s="9">
        <v>0.13</v>
      </c>
      <c r="F45" s="10">
        <f t="shared" si="0"/>
        <v>395338.94109999994</v>
      </c>
      <c r="G45" s="10">
        <f t="shared" si="1"/>
        <v>284644.03759199992</v>
      </c>
      <c r="H45" s="10">
        <f t="shared" si="2"/>
        <v>5692.8807518399981</v>
      </c>
      <c r="I45" s="13">
        <v>33.06</v>
      </c>
      <c r="J45" s="11">
        <f t="shared" si="4"/>
        <v>34.06</v>
      </c>
    </row>
    <row r="46" spans="1:10" x14ac:dyDescent="0.25">
      <c r="A46" s="7" t="s">
        <v>19</v>
      </c>
      <c r="B46" s="12" t="s">
        <v>22</v>
      </c>
      <c r="C46" s="14" t="str">
        <f t="shared" si="6"/>
        <v>Fevereiro</v>
      </c>
      <c r="D46" s="13">
        <v>367826.22</v>
      </c>
      <c r="E46" s="9">
        <v>0.13</v>
      </c>
      <c r="F46" s="10">
        <f t="shared" si="0"/>
        <v>415643.62859999994</v>
      </c>
      <c r="G46" s="10">
        <f t="shared" si="1"/>
        <v>299263.41259199992</v>
      </c>
      <c r="H46" s="10">
        <f t="shared" si="2"/>
        <v>5985.2682518399988</v>
      </c>
      <c r="I46" s="13">
        <v>30.16</v>
      </c>
      <c r="J46" s="11">
        <f t="shared" si="4"/>
        <v>31.16</v>
      </c>
    </row>
    <row r="47" spans="1:10" x14ac:dyDescent="0.25">
      <c r="A47" s="7" t="s">
        <v>23</v>
      </c>
      <c r="B47" s="12" t="s">
        <v>3</v>
      </c>
      <c r="C47" s="14" t="str">
        <f t="shared" si="6"/>
        <v>Fevereiro</v>
      </c>
      <c r="D47" s="13">
        <v>1516654.2</v>
      </c>
      <c r="E47" s="9">
        <v>0.13</v>
      </c>
      <c r="F47" s="10">
        <f t="shared" si="0"/>
        <v>1713819.2459999998</v>
      </c>
      <c r="G47" s="10">
        <f t="shared" si="1"/>
        <v>1233949.8571199998</v>
      </c>
      <c r="H47" s="10">
        <f t="shared" si="2"/>
        <v>24678.997142399996</v>
      </c>
      <c r="I47" s="13">
        <v>35.83</v>
      </c>
      <c r="J47" s="11">
        <f t="shared" si="4"/>
        <v>36.630000000000003</v>
      </c>
    </row>
    <row r="48" spans="1:10" x14ac:dyDescent="0.25">
      <c r="A48" s="7" t="s">
        <v>24</v>
      </c>
      <c r="B48" s="12" t="s">
        <v>4</v>
      </c>
      <c r="C48" s="14" t="str">
        <f t="shared" si="6"/>
        <v>Fevereiro</v>
      </c>
      <c r="D48" s="13">
        <v>762316.2</v>
      </c>
      <c r="E48" s="9">
        <v>0.13</v>
      </c>
      <c r="F48" s="10">
        <f t="shared" si="0"/>
        <v>861417.30599999987</v>
      </c>
      <c r="G48" s="10">
        <f t="shared" si="1"/>
        <v>620220.46031999984</v>
      </c>
      <c r="H48" s="10">
        <f t="shared" si="2"/>
        <v>12404.409206399998</v>
      </c>
      <c r="I48" s="13">
        <v>27.4</v>
      </c>
      <c r="J48" s="11">
        <f t="shared" si="4"/>
        <v>28.4</v>
      </c>
    </row>
    <row r="49" spans="1:10" x14ac:dyDescent="0.25">
      <c r="A49" s="7" t="s">
        <v>24</v>
      </c>
      <c r="B49" s="12" t="s">
        <v>25</v>
      </c>
      <c r="C49" s="14" t="str">
        <f t="shared" si="6"/>
        <v>Fevereiro</v>
      </c>
      <c r="D49" s="13">
        <v>856413.78</v>
      </c>
      <c r="E49" s="9">
        <v>0.13</v>
      </c>
      <c r="F49" s="10">
        <f t="shared" si="0"/>
        <v>967747.5713999999</v>
      </c>
      <c r="G49" s="10">
        <f t="shared" si="1"/>
        <v>696778.25140799989</v>
      </c>
      <c r="H49" s="10">
        <f t="shared" si="2"/>
        <v>13935.565028159997</v>
      </c>
      <c r="I49" s="13">
        <v>37.909999999999997</v>
      </c>
      <c r="J49" s="11">
        <f t="shared" si="4"/>
        <v>38.71</v>
      </c>
    </row>
    <row r="50" spans="1:10" x14ac:dyDescent="0.25">
      <c r="A50" s="7" t="s">
        <v>24</v>
      </c>
      <c r="B50" s="12" t="s">
        <v>26</v>
      </c>
      <c r="C50" s="14" t="str">
        <f t="shared" si="6"/>
        <v>Fevereiro</v>
      </c>
      <c r="D50" s="13">
        <v>44291.71</v>
      </c>
      <c r="E50" s="9">
        <v>0.13</v>
      </c>
      <c r="F50" s="10">
        <f t="shared" si="0"/>
        <v>50049.632299999997</v>
      </c>
      <c r="G50" s="10">
        <f t="shared" si="1"/>
        <v>36035.735256</v>
      </c>
      <c r="H50" s="10">
        <f t="shared" si="2"/>
        <v>720.71470511999996</v>
      </c>
      <c r="I50" s="13">
        <v>27.97</v>
      </c>
      <c r="J50" s="11">
        <f t="shared" si="4"/>
        <v>28.97</v>
      </c>
    </row>
    <row r="51" spans="1:10" x14ac:dyDescent="0.25">
      <c r="A51" s="7" t="s">
        <v>24</v>
      </c>
      <c r="B51" s="12" t="s">
        <v>27</v>
      </c>
      <c r="C51" s="14" t="str">
        <f t="shared" si="6"/>
        <v>Fevereiro</v>
      </c>
      <c r="D51" s="13">
        <v>366703.29</v>
      </c>
      <c r="E51" s="9">
        <v>0.13</v>
      </c>
      <c r="F51" s="10">
        <f t="shared" si="0"/>
        <v>414374.71769999992</v>
      </c>
      <c r="G51" s="10">
        <f t="shared" si="1"/>
        <v>298349.79674399993</v>
      </c>
      <c r="H51" s="10">
        <f t="shared" si="2"/>
        <v>5966.9959348799985</v>
      </c>
      <c r="I51" s="13">
        <v>29.98</v>
      </c>
      <c r="J51" s="11">
        <f t="shared" si="4"/>
        <v>30.98</v>
      </c>
    </row>
    <row r="52" spans="1:10" x14ac:dyDescent="0.25">
      <c r="A52" s="7" t="s">
        <v>28</v>
      </c>
      <c r="B52" s="12" t="s">
        <v>29</v>
      </c>
      <c r="C52" s="14" t="str">
        <f t="shared" si="6"/>
        <v>Fevereiro</v>
      </c>
      <c r="D52" s="13">
        <v>164689.88</v>
      </c>
      <c r="E52" s="9">
        <v>0.13</v>
      </c>
      <c r="F52" s="10">
        <f t="shared" si="0"/>
        <v>186099.56439999997</v>
      </c>
      <c r="G52" s="10">
        <f t="shared" si="1"/>
        <v>133991.68636799997</v>
      </c>
      <c r="H52" s="10">
        <f t="shared" si="2"/>
        <v>2679.8337273599996</v>
      </c>
      <c r="I52" s="13">
        <v>30.34</v>
      </c>
      <c r="J52" s="11">
        <f t="shared" si="4"/>
        <v>31.34</v>
      </c>
    </row>
    <row r="53" spans="1:10" x14ac:dyDescent="0.25">
      <c r="A53" s="7" t="s">
        <v>28</v>
      </c>
      <c r="B53" s="12" t="s">
        <v>30</v>
      </c>
      <c r="C53" s="14" t="str">
        <f t="shared" si="6"/>
        <v>Fevereiro</v>
      </c>
      <c r="D53" s="13">
        <v>866066.83</v>
      </c>
      <c r="E53" s="9">
        <v>0.13</v>
      </c>
      <c r="F53" s="10">
        <f t="shared" si="0"/>
        <v>978655.51789999986</v>
      </c>
      <c r="G53" s="10">
        <f t="shared" si="1"/>
        <v>704631.97288799984</v>
      </c>
      <c r="H53" s="10">
        <f t="shared" si="2"/>
        <v>14092.639457759997</v>
      </c>
      <c r="I53" s="13">
        <v>34.82</v>
      </c>
      <c r="J53" s="11">
        <f t="shared" si="4"/>
        <v>35.82</v>
      </c>
    </row>
    <row r="54" spans="1:10" x14ac:dyDescent="0.25">
      <c r="A54" s="7" t="s">
        <v>28</v>
      </c>
      <c r="B54" s="12" t="s">
        <v>31</v>
      </c>
      <c r="C54" s="14" t="str">
        <f t="shared" si="6"/>
        <v>Fevereiro</v>
      </c>
      <c r="D54" s="13">
        <v>761849.83</v>
      </c>
      <c r="E54" s="9">
        <v>0.13</v>
      </c>
      <c r="F54" s="10">
        <f t="shared" si="0"/>
        <v>860890.3078999999</v>
      </c>
      <c r="G54" s="10">
        <f t="shared" si="1"/>
        <v>619841.02168799995</v>
      </c>
      <c r="H54" s="10">
        <f t="shared" si="2"/>
        <v>12396.82043376</v>
      </c>
      <c r="I54" s="13">
        <v>27.09</v>
      </c>
      <c r="J54" s="11">
        <f t="shared" si="4"/>
        <v>28.09</v>
      </c>
    </row>
    <row r="55" spans="1:10" x14ac:dyDescent="0.25">
      <c r="A55" s="7" t="s">
        <v>28</v>
      </c>
      <c r="B55" s="12" t="s">
        <v>32</v>
      </c>
      <c r="C55" s="14" t="str">
        <f t="shared" si="6"/>
        <v>Fevereiro</v>
      </c>
      <c r="D55" s="13">
        <v>430207.71</v>
      </c>
      <c r="E55" s="9">
        <v>0.13</v>
      </c>
      <c r="F55" s="10">
        <f t="shared" si="0"/>
        <v>486134.71229999996</v>
      </c>
      <c r="G55" s="10">
        <f t="shared" si="1"/>
        <v>350016.99285599997</v>
      </c>
      <c r="H55" s="10">
        <f t="shared" si="2"/>
        <v>7000.3398571199996</v>
      </c>
      <c r="I55" s="13">
        <v>29.34</v>
      </c>
      <c r="J55" s="11">
        <f t="shared" si="4"/>
        <v>30.34</v>
      </c>
    </row>
    <row r="56" spans="1:10" x14ac:dyDescent="0.25">
      <c r="A56" s="7" t="s">
        <v>28</v>
      </c>
      <c r="B56" s="12" t="s">
        <v>2</v>
      </c>
      <c r="C56" s="14" t="str">
        <f t="shared" si="6"/>
        <v>Fevereiro</v>
      </c>
      <c r="D56" s="13">
        <v>352372.8</v>
      </c>
      <c r="E56" s="9">
        <v>0.13</v>
      </c>
      <c r="F56" s="10">
        <f t="shared" si="0"/>
        <v>398181.26399999997</v>
      </c>
      <c r="G56" s="10">
        <f t="shared" si="1"/>
        <v>286690.51007999998</v>
      </c>
      <c r="H56" s="10">
        <f t="shared" si="2"/>
        <v>5733.8102015999993</v>
      </c>
      <c r="I56" s="13">
        <v>33.31</v>
      </c>
      <c r="J56" s="11">
        <f t="shared" si="4"/>
        <v>34.31</v>
      </c>
    </row>
    <row r="57" spans="1:10" x14ac:dyDescent="0.25">
      <c r="A57" s="7" t="s">
        <v>28</v>
      </c>
      <c r="B57" s="12" t="s">
        <v>33</v>
      </c>
      <c r="C57" s="14" t="str">
        <f t="shared" si="6"/>
        <v>Fevereiro</v>
      </c>
      <c r="D57" s="13">
        <v>34090.199999999997</v>
      </c>
      <c r="E57" s="9">
        <v>0.13</v>
      </c>
      <c r="F57" s="10">
        <f t="shared" si="0"/>
        <v>38521.925999999992</v>
      </c>
      <c r="G57" s="10">
        <f t="shared" si="1"/>
        <v>27735.786719999993</v>
      </c>
      <c r="H57" s="10">
        <f t="shared" si="2"/>
        <v>554.71573439999986</v>
      </c>
      <c r="I57" s="13">
        <v>31.16</v>
      </c>
      <c r="J57" s="11">
        <f t="shared" si="4"/>
        <v>32.159999999999997</v>
      </c>
    </row>
    <row r="58" spans="1:10" x14ac:dyDescent="0.25">
      <c r="A58" s="7" t="s">
        <v>28</v>
      </c>
      <c r="B58" s="12" t="s">
        <v>34</v>
      </c>
      <c r="C58" s="14" t="str">
        <f t="shared" si="6"/>
        <v>Fevereiro</v>
      </c>
      <c r="D58" s="13">
        <v>397084.76</v>
      </c>
      <c r="E58" s="9">
        <v>0.13</v>
      </c>
      <c r="F58" s="10">
        <f t="shared" si="0"/>
        <v>448705.77879999997</v>
      </c>
      <c r="G58" s="10">
        <f t="shared" si="1"/>
        <v>323068.16073599999</v>
      </c>
      <c r="H58" s="10">
        <f t="shared" si="2"/>
        <v>6461.3632147199996</v>
      </c>
      <c r="I58" s="13">
        <v>39.15</v>
      </c>
      <c r="J58" s="11">
        <f t="shared" si="4"/>
        <v>39.950000000000003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43AA-6606-4163-A039-73A928DBF3C0}">
  <dimension ref="A1:I59"/>
  <sheetViews>
    <sheetView tabSelected="1" topLeftCell="A28" workbookViewId="0">
      <selection activeCell="E59" sqref="E59:I59"/>
    </sheetView>
  </sheetViews>
  <sheetFormatPr defaultRowHeight="15" x14ac:dyDescent="0.25"/>
  <cols>
    <col min="1" max="1" width="27.140625" bestFit="1" customWidth="1"/>
    <col min="2" max="2" width="10.85546875" bestFit="1" customWidth="1"/>
    <col min="5" max="5" width="11.7109375" bestFit="1" customWidth="1"/>
    <col min="6" max="6" width="10.140625" bestFit="1" customWidth="1"/>
    <col min="7" max="7" width="7.7109375" bestFit="1" customWidth="1"/>
    <col min="8" max="8" width="11.7109375" bestFit="1" customWidth="1"/>
  </cols>
  <sheetData>
    <row r="1" spans="1:9" x14ac:dyDescent="0.25">
      <c r="A1" s="2" t="s">
        <v>35</v>
      </c>
      <c r="B1" s="2" t="s">
        <v>5</v>
      </c>
      <c r="C1" t="s">
        <v>36</v>
      </c>
      <c r="D1" t="s">
        <v>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s="2" t="s">
        <v>42</v>
      </c>
      <c r="E2" s="3" t="s">
        <v>43</v>
      </c>
      <c r="G2" s="3" t="s">
        <v>44</v>
      </c>
      <c r="H2" s="3" t="s">
        <v>43</v>
      </c>
      <c r="I2" s="3" t="s">
        <v>45</v>
      </c>
    </row>
    <row r="3" spans="1:9" x14ac:dyDescent="0.25">
      <c r="A3" s="2" t="s">
        <v>29</v>
      </c>
      <c r="B3" s="2" t="s">
        <v>46</v>
      </c>
      <c r="C3" t="s">
        <v>47</v>
      </c>
      <c r="D3" t="s">
        <v>16</v>
      </c>
      <c r="E3" s="3">
        <v>137031.49</v>
      </c>
      <c r="F3" s="3">
        <v>40377.379999999997</v>
      </c>
      <c r="G3" s="3">
        <v>29.47</v>
      </c>
      <c r="H3" s="3">
        <v>45886.34</v>
      </c>
      <c r="I3" s="3">
        <v>0</v>
      </c>
    </row>
    <row r="4" spans="1:9" x14ac:dyDescent="0.25">
      <c r="A4" s="2" t="s">
        <v>30</v>
      </c>
      <c r="B4" s="2" t="s">
        <v>46</v>
      </c>
      <c r="C4" t="s">
        <v>47</v>
      </c>
      <c r="D4" t="s">
        <v>16</v>
      </c>
      <c r="E4" s="3">
        <v>997008.85</v>
      </c>
      <c r="F4" s="3">
        <v>338535.17</v>
      </c>
      <c r="G4" s="3">
        <v>33.96</v>
      </c>
      <c r="H4" s="3">
        <v>499178.74</v>
      </c>
      <c r="I4" s="3">
        <v>3969.86</v>
      </c>
    </row>
    <row r="5" spans="1:9" x14ac:dyDescent="0.25">
      <c r="A5" s="2" t="s">
        <v>31</v>
      </c>
      <c r="B5" s="2" t="s">
        <v>46</v>
      </c>
      <c r="C5" t="s">
        <v>47</v>
      </c>
      <c r="D5" t="s">
        <v>16</v>
      </c>
      <c r="E5" s="3">
        <v>853336.65</v>
      </c>
      <c r="F5" s="3">
        <v>233920.62</v>
      </c>
      <c r="G5" s="3">
        <v>27.41</v>
      </c>
      <c r="H5" s="3">
        <v>540592.23</v>
      </c>
      <c r="I5" s="3">
        <v>29282.799999999999</v>
      </c>
    </row>
    <row r="6" spans="1:9" x14ac:dyDescent="0.25">
      <c r="A6" s="2" t="s">
        <v>32</v>
      </c>
      <c r="B6" s="2" t="s">
        <v>46</v>
      </c>
      <c r="C6" t="s">
        <v>47</v>
      </c>
      <c r="D6" t="s">
        <v>16</v>
      </c>
      <c r="E6" s="3">
        <v>476771.32</v>
      </c>
      <c r="F6" s="3">
        <v>132189.91</v>
      </c>
      <c r="G6" s="3">
        <v>27.73</v>
      </c>
      <c r="H6" s="3">
        <v>453575.92</v>
      </c>
      <c r="I6" s="3">
        <v>3768.84</v>
      </c>
    </row>
    <row r="7" spans="1:9" x14ac:dyDescent="0.25">
      <c r="A7" s="2" t="s">
        <v>2</v>
      </c>
      <c r="B7" s="2" t="s">
        <v>46</v>
      </c>
      <c r="C7" t="s">
        <v>47</v>
      </c>
      <c r="D7" t="s">
        <v>16</v>
      </c>
      <c r="E7" s="3">
        <v>474999.02</v>
      </c>
      <c r="F7" s="3">
        <v>146541.21</v>
      </c>
      <c r="G7" s="3">
        <v>30.85</v>
      </c>
      <c r="H7" s="3">
        <v>472477.86</v>
      </c>
      <c r="I7" s="3">
        <v>111.6</v>
      </c>
    </row>
    <row r="8" spans="1:9" x14ac:dyDescent="0.25">
      <c r="A8" s="2" t="s">
        <v>33</v>
      </c>
      <c r="B8" s="2" t="s">
        <v>46</v>
      </c>
      <c r="C8" t="s">
        <v>47</v>
      </c>
      <c r="D8" t="s">
        <v>16</v>
      </c>
      <c r="E8" s="3">
        <v>36082.44</v>
      </c>
      <c r="F8" s="3">
        <v>11776.28</v>
      </c>
      <c r="G8" s="3">
        <v>32.64</v>
      </c>
      <c r="H8" s="3">
        <v>30575.19</v>
      </c>
      <c r="I8" s="3">
        <v>0</v>
      </c>
    </row>
    <row r="9" spans="1:9" x14ac:dyDescent="0.25">
      <c r="A9" s="2" t="s">
        <v>34</v>
      </c>
      <c r="B9" s="2" t="s">
        <v>46</v>
      </c>
      <c r="C9" t="s">
        <v>47</v>
      </c>
      <c r="D9" t="s">
        <v>16</v>
      </c>
      <c r="E9" s="3">
        <v>461855.74</v>
      </c>
      <c r="F9" s="3">
        <v>185288.87</v>
      </c>
      <c r="G9" s="3">
        <v>40.119999999999997</v>
      </c>
      <c r="H9" s="3">
        <v>181153.98</v>
      </c>
      <c r="I9" s="3">
        <v>6055.24</v>
      </c>
    </row>
    <row r="10" spans="1:9" x14ac:dyDescent="0.25">
      <c r="A10" s="2" t="s">
        <v>4</v>
      </c>
      <c r="B10" s="2" t="s">
        <v>48</v>
      </c>
      <c r="C10" t="s">
        <v>47</v>
      </c>
      <c r="D10" t="s">
        <v>16</v>
      </c>
      <c r="E10" s="3">
        <v>789910.8</v>
      </c>
      <c r="F10" s="3">
        <v>226006.92</v>
      </c>
      <c r="G10" s="3">
        <v>28.61</v>
      </c>
      <c r="H10" s="3">
        <v>412428.26</v>
      </c>
      <c r="I10" s="3">
        <v>1126.22</v>
      </c>
    </row>
    <row r="11" spans="1:9" x14ac:dyDescent="0.25">
      <c r="A11" s="2" t="s">
        <v>25</v>
      </c>
      <c r="B11" s="2" t="s">
        <v>48</v>
      </c>
      <c r="C11" t="s">
        <v>47</v>
      </c>
      <c r="D11" t="s">
        <v>16</v>
      </c>
      <c r="E11" s="3">
        <v>930240.22</v>
      </c>
      <c r="F11" s="3">
        <v>358370.83</v>
      </c>
      <c r="G11" s="3">
        <v>38.520000000000003</v>
      </c>
      <c r="H11" s="3">
        <v>615398.65</v>
      </c>
      <c r="I11" s="3">
        <v>5457.71</v>
      </c>
    </row>
    <row r="12" spans="1:9" x14ac:dyDescent="0.25">
      <c r="A12" s="2" t="s">
        <v>26</v>
      </c>
      <c r="B12" s="2" t="s">
        <v>48</v>
      </c>
      <c r="C12" t="s">
        <v>47</v>
      </c>
      <c r="D12" t="s">
        <v>16</v>
      </c>
      <c r="E12" s="3">
        <v>51983.63</v>
      </c>
      <c r="F12" s="3">
        <v>14479.08</v>
      </c>
      <c r="G12" s="3">
        <v>27.85</v>
      </c>
      <c r="H12" s="3">
        <v>11406.75</v>
      </c>
      <c r="I12" s="3">
        <v>0</v>
      </c>
    </row>
    <row r="13" spans="1:9" x14ac:dyDescent="0.25">
      <c r="A13" s="2" t="s">
        <v>27</v>
      </c>
      <c r="B13" s="2" t="s">
        <v>48</v>
      </c>
      <c r="C13" t="s">
        <v>47</v>
      </c>
      <c r="D13" t="s">
        <v>16</v>
      </c>
      <c r="E13" s="3">
        <v>424219.74</v>
      </c>
      <c r="F13" s="3">
        <v>125415.12</v>
      </c>
      <c r="G13" s="3">
        <v>29.56</v>
      </c>
      <c r="H13" s="3">
        <v>207508.62</v>
      </c>
      <c r="I13" s="3">
        <v>644.96</v>
      </c>
    </row>
    <row r="14" spans="1:9" x14ac:dyDescent="0.25">
      <c r="A14" s="2" t="s">
        <v>1</v>
      </c>
      <c r="B14" s="2" t="s">
        <v>49</v>
      </c>
      <c r="C14" t="s">
        <v>47</v>
      </c>
      <c r="D14" t="s">
        <v>16</v>
      </c>
      <c r="E14" s="3">
        <v>3257496.47</v>
      </c>
      <c r="F14" s="3">
        <v>746601.68</v>
      </c>
      <c r="G14" s="3">
        <v>22.92</v>
      </c>
      <c r="H14" s="3">
        <v>1746775.72</v>
      </c>
      <c r="I14" s="3">
        <v>1509.53</v>
      </c>
    </row>
    <row r="15" spans="1:9" x14ac:dyDescent="0.25">
      <c r="A15" s="2" t="s">
        <v>20</v>
      </c>
      <c r="B15" s="2" t="s">
        <v>49</v>
      </c>
      <c r="C15" t="s">
        <v>47</v>
      </c>
      <c r="D15" t="s">
        <v>16</v>
      </c>
      <c r="E15" s="3">
        <v>790520.97</v>
      </c>
      <c r="F15" s="3">
        <v>234848.96</v>
      </c>
      <c r="G15" s="3">
        <v>29.71</v>
      </c>
      <c r="H15" s="3">
        <v>483426.81</v>
      </c>
      <c r="I15" s="3">
        <v>1851.08</v>
      </c>
    </row>
    <row r="16" spans="1:9" x14ac:dyDescent="0.25">
      <c r="A16" s="2" t="s">
        <v>21</v>
      </c>
      <c r="B16" s="2" t="s">
        <v>49</v>
      </c>
      <c r="C16" t="s">
        <v>47</v>
      </c>
      <c r="D16" t="s">
        <v>16</v>
      </c>
      <c r="E16" s="3">
        <v>394939.78</v>
      </c>
      <c r="F16" s="3">
        <v>126826.66</v>
      </c>
      <c r="G16" s="3">
        <v>32.11</v>
      </c>
      <c r="H16" s="3">
        <v>259150.32</v>
      </c>
      <c r="I16" s="3">
        <v>0</v>
      </c>
    </row>
    <row r="17" spans="1:9" x14ac:dyDescent="0.25">
      <c r="A17" s="2" t="s">
        <v>22</v>
      </c>
      <c r="B17" s="2" t="s">
        <v>49</v>
      </c>
      <c r="C17" t="s">
        <v>47</v>
      </c>
      <c r="D17" t="s">
        <v>16</v>
      </c>
      <c r="E17" s="3">
        <v>415246.45</v>
      </c>
      <c r="F17" s="3">
        <v>123104.12</v>
      </c>
      <c r="G17" s="3">
        <v>29.65</v>
      </c>
      <c r="H17" s="3">
        <v>245664.11</v>
      </c>
      <c r="I17" s="3">
        <v>4453.5200000000004</v>
      </c>
    </row>
    <row r="18" spans="1:9" x14ac:dyDescent="0.25">
      <c r="A18" s="2" t="s">
        <v>15</v>
      </c>
      <c r="B18" s="2" t="s">
        <v>50</v>
      </c>
      <c r="C18" t="s">
        <v>47</v>
      </c>
      <c r="D18" t="s">
        <v>16</v>
      </c>
      <c r="E18" s="3">
        <v>1352495.62</v>
      </c>
      <c r="F18" s="3">
        <v>175463.2</v>
      </c>
      <c r="G18" s="3">
        <v>12.97</v>
      </c>
      <c r="H18" s="3">
        <v>810856.42</v>
      </c>
      <c r="I18" s="3">
        <v>1200</v>
      </c>
    </row>
    <row r="19" spans="1:9" x14ac:dyDescent="0.25">
      <c r="A19" s="2" t="s">
        <v>17</v>
      </c>
      <c r="B19" s="2" t="s">
        <v>50</v>
      </c>
      <c r="C19" t="s">
        <v>47</v>
      </c>
      <c r="D19" t="s">
        <v>16</v>
      </c>
      <c r="E19" s="3">
        <v>2615814.58</v>
      </c>
      <c r="F19" s="3">
        <v>530697.04</v>
      </c>
      <c r="G19" s="3">
        <v>20.29</v>
      </c>
      <c r="H19" s="3">
        <v>1911441.5</v>
      </c>
      <c r="I19" s="3">
        <v>85300.15</v>
      </c>
    </row>
    <row r="20" spans="1:9" x14ac:dyDescent="0.25">
      <c r="A20" s="2" t="s">
        <v>18</v>
      </c>
      <c r="B20" s="2" t="s">
        <v>50</v>
      </c>
      <c r="C20" t="s">
        <v>47</v>
      </c>
      <c r="D20" t="s">
        <v>16</v>
      </c>
      <c r="E20" s="3">
        <v>142865.48000000001</v>
      </c>
      <c r="F20" s="3">
        <v>45706.400000000001</v>
      </c>
      <c r="G20" s="3">
        <v>31.99</v>
      </c>
      <c r="H20" s="3">
        <v>46188.32</v>
      </c>
      <c r="I20" s="3">
        <v>1852.84</v>
      </c>
    </row>
    <row r="21" spans="1:9" x14ac:dyDescent="0.25">
      <c r="A21" s="2" t="s">
        <v>3</v>
      </c>
      <c r="B21" s="2" t="s">
        <v>51</v>
      </c>
      <c r="C21" t="s">
        <v>47</v>
      </c>
      <c r="D21" t="s">
        <v>16</v>
      </c>
      <c r="E21" s="3">
        <v>1719420.02</v>
      </c>
      <c r="F21" s="3">
        <v>615543.24</v>
      </c>
      <c r="G21" s="3">
        <v>35.799999999999997</v>
      </c>
      <c r="H21" s="3">
        <v>1184301.8500000001</v>
      </c>
      <c r="I21" s="3">
        <v>0</v>
      </c>
    </row>
    <row r="22" spans="1:9" x14ac:dyDescent="0.25">
      <c r="A22" s="2" t="s">
        <v>29</v>
      </c>
      <c r="B22" s="2" t="s">
        <v>46</v>
      </c>
      <c r="C22" t="s">
        <v>47</v>
      </c>
      <c r="D22" t="s">
        <v>52</v>
      </c>
      <c r="E22" s="3">
        <v>130745.66</v>
      </c>
      <c r="F22" s="3">
        <v>37900.160000000003</v>
      </c>
      <c r="G22" s="3">
        <v>28.99</v>
      </c>
      <c r="H22" s="3">
        <v>24693.72</v>
      </c>
      <c r="I22" s="3">
        <v>15087.95</v>
      </c>
    </row>
    <row r="23" spans="1:9" x14ac:dyDescent="0.25">
      <c r="A23" s="2" t="s">
        <v>30</v>
      </c>
      <c r="B23" s="2" t="s">
        <v>46</v>
      </c>
      <c r="C23" t="s">
        <v>47</v>
      </c>
      <c r="D23" t="str">
        <f>D22</f>
        <v>Janeiro</v>
      </c>
      <c r="E23" s="3">
        <v>920671.85</v>
      </c>
      <c r="F23" s="3">
        <v>324422.95</v>
      </c>
      <c r="G23" s="3">
        <v>35.24</v>
      </c>
      <c r="H23" s="3">
        <v>560983.36</v>
      </c>
      <c r="I23" s="3">
        <v>8332.48</v>
      </c>
    </row>
    <row r="24" spans="1:9" x14ac:dyDescent="0.25">
      <c r="A24" s="2" t="s">
        <v>31</v>
      </c>
      <c r="B24" s="2" t="s">
        <v>46</v>
      </c>
      <c r="C24" t="s">
        <v>47</v>
      </c>
      <c r="D24" t="str">
        <f t="shared" ref="D24:D40" si="0">D23</f>
        <v>Janeiro</v>
      </c>
      <c r="E24" s="3">
        <v>793381.72</v>
      </c>
      <c r="F24" s="3">
        <v>224298.12</v>
      </c>
      <c r="G24" s="3">
        <v>28.27</v>
      </c>
      <c r="H24" s="3">
        <v>529870.93000000005</v>
      </c>
      <c r="I24" s="3">
        <v>2882.79</v>
      </c>
    </row>
    <row r="25" spans="1:9" x14ac:dyDescent="0.25">
      <c r="A25" s="2" t="s">
        <v>32</v>
      </c>
      <c r="B25" s="2" t="s">
        <v>46</v>
      </c>
      <c r="C25" t="s">
        <v>47</v>
      </c>
      <c r="D25" t="str">
        <f t="shared" si="0"/>
        <v>Janeiro</v>
      </c>
      <c r="E25" s="3">
        <v>476431.78</v>
      </c>
      <c r="F25" s="3">
        <v>123167.23</v>
      </c>
      <c r="G25" s="3">
        <v>25.85</v>
      </c>
      <c r="H25" s="3">
        <v>285623.12</v>
      </c>
      <c r="I25" s="3">
        <v>0</v>
      </c>
    </row>
    <row r="26" spans="1:9" x14ac:dyDescent="0.25">
      <c r="A26" s="2" t="s">
        <v>2</v>
      </c>
      <c r="B26" s="2" t="s">
        <v>46</v>
      </c>
      <c r="C26" t="s">
        <v>47</v>
      </c>
      <c r="D26" t="str">
        <f t="shared" si="0"/>
        <v>Janeiro</v>
      </c>
      <c r="E26" s="3">
        <v>415826.53</v>
      </c>
      <c r="F26" s="3">
        <v>125411.17</v>
      </c>
      <c r="G26" s="3">
        <v>30.16</v>
      </c>
      <c r="H26" s="3">
        <v>200712.12</v>
      </c>
      <c r="I26" s="3">
        <v>0</v>
      </c>
    </row>
    <row r="27" spans="1:9" x14ac:dyDescent="0.25">
      <c r="A27" s="2" t="s">
        <v>33</v>
      </c>
      <c r="B27" s="2" t="s">
        <v>46</v>
      </c>
      <c r="C27" t="s">
        <v>47</v>
      </c>
      <c r="D27" t="str">
        <f t="shared" si="0"/>
        <v>Janeiro</v>
      </c>
      <c r="E27" s="3">
        <v>29885.03</v>
      </c>
      <c r="F27" s="3">
        <v>9325.09</v>
      </c>
      <c r="G27" s="3">
        <v>31.2</v>
      </c>
      <c r="H27" s="3">
        <v>22797.8</v>
      </c>
      <c r="I27" s="3">
        <v>1646.33</v>
      </c>
    </row>
    <row r="28" spans="1:9" x14ac:dyDescent="0.25">
      <c r="A28" s="2" t="s">
        <v>34</v>
      </c>
      <c r="B28" s="2" t="s">
        <v>46</v>
      </c>
      <c r="C28" t="s">
        <v>47</v>
      </c>
      <c r="D28" t="str">
        <f t="shared" si="0"/>
        <v>Janeiro</v>
      </c>
      <c r="E28" s="3">
        <v>436882.3</v>
      </c>
      <c r="F28" s="3">
        <v>167387.60999999999</v>
      </c>
      <c r="G28" s="3">
        <v>38.31</v>
      </c>
      <c r="H28" s="3">
        <v>218029.01</v>
      </c>
      <c r="I28" s="3">
        <v>5242</v>
      </c>
    </row>
    <row r="29" spans="1:9" x14ac:dyDescent="0.25">
      <c r="A29" s="2" t="s">
        <v>4</v>
      </c>
      <c r="B29" s="2" t="s">
        <v>48</v>
      </c>
      <c r="C29" t="s">
        <v>47</v>
      </c>
      <c r="D29" t="str">
        <f t="shared" si="0"/>
        <v>Janeiro</v>
      </c>
      <c r="E29" s="3">
        <v>858792.35</v>
      </c>
      <c r="F29" s="3">
        <v>250661.03</v>
      </c>
      <c r="G29" s="3">
        <v>29.19</v>
      </c>
      <c r="H29" s="3">
        <v>659122.36</v>
      </c>
      <c r="I29" s="3">
        <v>897.61</v>
      </c>
    </row>
    <row r="30" spans="1:9" x14ac:dyDescent="0.25">
      <c r="A30" s="2" t="s">
        <v>25</v>
      </c>
      <c r="B30" s="2" t="s">
        <v>48</v>
      </c>
      <c r="C30" t="s">
        <v>47</v>
      </c>
      <c r="D30" t="str">
        <f t="shared" si="0"/>
        <v>Janeiro</v>
      </c>
      <c r="E30" s="3">
        <v>936909.82</v>
      </c>
      <c r="F30" s="3">
        <v>342526.94</v>
      </c>
      <c r="G30" s="3">
        <v>36.56</v>
      </c>
      <c r="H30" s="3">
        <v>425931.58</v>
      </c>
      <c r="I30" s="3">
        <v>5285.62</v>
      </c>
    </row>
    <row r="31" spans="1:9" x14ac:dyDescent="0.25">
      <c r="A31" s="2" t="s">
        <v>26</v>
      </c>
      <c r="B31" s="2" t="s">
        <v>48</v>
      </c>
      <c r="C31" t="s">
        <v>47</v>
      </c>
      <c r="D31" t="str">
        <f t="shared" si="0"/>
        <v>Janeiro</v>
      </c>
      <c r="E31" s="3">
        <v>46615.35</v>
      </c>
      <c r="F31" s="3">
        <v>12787.61</v>
      </c>
      <c r="G31" s="3">
        <v>27.43</v>
      </c>
      <c r="H31" s="3">
        <v>4489.6499999999996</v>
      </c>
      <c r="I31" s="3">
        <v>0</v>
      </c>
    </row>
    <row r="32" spans="1:9" x14ac:dyDescent="0.25">
      <c r="A32" s="2" t="s">
        <v>27</v>
      </c>
      <c r="B32" s="2" t="s">
        <v>48</v>
      </c>
      <c r="C32" t="s">
        <v>47</v>
      </c>
      <c r="D32" t="str">
        <f t="shared" si="0"/>
        <v>Janeiro</v>
      </c>
      <c r="E32" s="3">
        <v>379417.8</v>
      </c>
      <c r="F32" s="3">
        <v>116946.52</v>
      </c>
      <c r="G32" s="3">
        <v>30.82</v>
      </c>
      <c r="H32" s="3">
        <v>231592.43</v>
      </c>
      <c r="I32" s="3">
        <v>598.97</v>
      </c>
    </row>
    <row r="33" spans="1:9" x14ac:dyDescent="0.25">
      <c r="A33" s="2" t="s">
        <v>1</v>
      </c>
      <c r="B33" s="2" t="s">
        <v>49</v>
      </c>
      <c r="C33" t="s">
        <v>47</v>
      </c>
      <c r="D33" t="str">
        <f t="shared" si="0"/>
        <v>Janeiro</v>
      </c>
      <c r="E33" s="3">
        <v>3133369.82</v>
      </c>
      <c r="F33" s="3">
        <v>642637.41</v>
      </c>
      <c r="G33" s="3">
        <v>20.51</v>
      </c>
      <c r="H33" s="3">
        <v>1851374.61</v>
      </c>
      <c r="I33" s="3">
        <v>4350.18</v>
      </c>
    </row>
    <row r="34" spans="1:9" x14ac:dyDescent="0.25">
      <c r="A34" s="2" t="s">
        <v>20</v>
      </c>
      <c r="B34" s="2" t="s">
        <v>49</v>
      </c>
      <c r="C34" t="s">
        <v>47</v>
      </c>
      <c r="D34" t="str">
        <f t="shared" si="0"/>
        <v>Janeiro</v>
      </c>
      <c r="E34" s="3">
        <v>751436.25</v>
      </c>
      <c r="F34" s="3">
        <v>230325</v>
      </c>
      <c r="G34" s="3">
        <v>30.65</v>
      </c>
      <c r="H34" s="3">
        <v>520944.05</v>
      </c>
      <c r="I34" s="3">
        <v>1813.23</v>
      </c>
    </row>
    <row r="35" spans="1:9" x14ac:dyDescent="0.25">
      <c r="A35" s="2" t="s">
        <v>21</v>
      </c>
      <c r="B35" s="2" t="s">
        <v>49</v>
      </c>
      <c r="C35" t="s">
        <v>47</v>
      </c>
      <c r="D35" t="str">
        <f t="shared" si="0"/>
        <v>Janeiro</v>
      </c>
      <c r="E35" s="3">
        <v>382201.75</v>
      </c>
      <c r="F35" s="3">
        <v>126877.72</v>
      </c>
      <c r="G35" s="3">
        <v>33.200000000000003</v>
      </c>
      <c r="H35" s="3">
        <v>208608.75</v>
      </c>
      <c r="I35" s="3">
        <v>0</v>
      </c>
    </row>
    <row r="36" spans="1:9" x14ac:dyDescent="0.25">
      <c r="A36" s="2" t="s">
        <v>22</v>
      </c>
      <c r="B36" s="2" t="s">
        <v>49</v>
      </c>
      <c r="C36" t="s">
        <v>47</v>
      </c>
      <c r="D36" t="str">
        <f t="shared" si="0"/>
        <v>Janeiro</v>
      </c>
      <c r="E36" s="3">
        <v>399123.59</v>
      </c>
      <c r="F36" s="3">
        <v>112989.39</v>
      </c>
      <c r="G36" s="3">
        <v>28.31</v>
      </c>
      <c r="H36" s="3">
        <v>256328.6</v>
      </c>
      <c r="I36" s="3">
        <v>9686.9</v>
      </c>
    </row>
    <row r="37" spans="1:9" x14ac:dyDescent="0.25">
      <c r="A37" s="2" t="s">
        <v>15</v>
      </c>
      <c r="B37" s="2" t="s">
        <v>50</v>
      </c>
      <c r="C37" t="s">
        <v>47</v>
      </c>
      <c r="D37" t="str">
        <f t="shared" si="0"/>
        <v>Janeiro</v>
      </c>
      <c r="E37" s="3">
        <v>1485217.51</v>
      </c>
      <c r="F37" s="3">
        <v>160768.69</v>
      </c>
      <c r="G37" s="3">
        <v>10.82</v>
      </c>
      <c r="H37" s="3">
        <v>1473221.14</v>
      </c>
      <c r="I37" s="3">
        <v>7854</v>
      </c>
    </row>
    <row r="38" spans="1:9" x14ac:dyDescent="0.25">
      <c r="A38" s="2" t="s">
        <v>17</v>
      </c>
      <c r="B38" s="2" t="s">
        <v>50</v>
      </c>
      <c r="C38" t="s">
        <v>47</v>
      </c>
      <c r="D38" t="str">
        <f t="shared" si="0"/>
        <v>Janeiro</v>
      </c>
      <c r="E38" s="3">
        <v>2219596.67</v>
      </c>
      <c r="F38" s="3">
        <v>453712.05</v>
      </c>
      <c r="G38" s="3">
        <v>20.440000000000001</v>
      </c>
      <c r="H38" s="3">
        <v>1505694.3</v>
      </c>
      <c r="I38" s="3">
        <v>40115.550000000003</v>
      </c>
    </row>
    <row r="39" spans="1:9" x14ac:dyDescent="0.25">
      <c r="A39" s="2" t="s">
        <v>18</v>
      </c>
      <c r="B39" s="2" t="s">
        <v>50</v>
      </c>
      <c r="C39" t="s">
        <v>47</v>
      </c>
      <c r="D39" t="str">
        <f t="shared" si="0"/>
        <v>Janeiro</v>
      </c>
      <c r="E39" s="3">
        <v>126997.55</v>
      </c>
      <c r="F39" s="3">
        <v>38237.53</v>
      </c>
      <c r="G39" s="3">
        <v>30.11</v>
      </c>
      <c r="H39" s="3">
        <v>95338.22</v>
      </c>
      <c r="I39" s="3">
        <v>1189.52</v>
      </c>
    </row>
    <row r="40" spans="1:9" x14ac:dyDescent="0.25">
      <c r="A40" s="2" t="s">
        <v>3</v>
      </c>
      <c r="B40" s="2" t="s">
        <v>51</v>
      </c>
      <c r="C40" t="s">
        <v>47</v>
      </c>
      <c r="D40" t="str">
        <f t="shared" si="0"/>
        <v>Janeiro</v>
      </c>
      <c r="E40" s="3">
        <v>1651734.43</v>
      </c>
      <c r="F40" s="3">
        <v>579865.15</v>
      </c>
      <c r="G40" s="3">
        <v>35.11</v>
      </c>
      <c r="H40" s="3">
        <v>963438.06</v>
      </c>
      <c r="I40" s="3">
        <v>74.900000000000006</v>
      </c>
    </row>
    <row r="41" spans="1:9" x14ac:dyDescent="0.25">
      <c r="A41" s="2" t="s">
        <v>29</v>
      </c>
      <c r="B41" s="2" t="s">
        <v>46</v>
      </c>
      <c r="C41" t="s">
        <v>47</v>
      </c>
      <c r="D41" t="s">
        <v>53</v>
      </c>
      <c r="E41" s="16">
        <v>164689.88</v>
      </c>
      <c r="F41" s="16">
        <v>49968.35</v>
      </c>
      <c r="G41" s="16">
        <v>30.34</v>
      </c>
      <c r="H41" s="16">
        <v>134107.04999999999</v>
      </c>
      <c r="I41" s="16">
        <v>663.56</v>
      </c>
    </row>
    <row r="42" spans="1:9" x14ac:dyDescent="0.25">
      <c r="A42" s="2" t="s">
        <v>30</v>
      </c>
      <c r="B42" s="2" t="s">
        <v>46</v>
      </c>
      <c r="C42" t="s">
        <v>47</v>
      </c>
      <c r="D42" t="str">
        <f>D41</f>
        <v>Fevereiro</v>
      </c>
      <c r="E42" s="16">
        <v>866066.83</v>
      </c>
      <c r="F42" s="16">
        <v>301544.08</v>
      </c>
      <c r="G42" s="16">
        <v>34.82</v>
      </c>
      <c r="H42" s="16">
        <v>546274.52</v>
      </c>
      <c r="I42" s="16">
        <v>4981.68</v>
      </c>
    </row>
    <row r="43" spans="1:9" x14ac:dyDescent="0.25">
      <c r="A43" s="2" t="s">
        <v>31</v>
      </c>
      <c r="B43" s="2" t="s">
        <v>46</v>
      </c>
      <c r="C43" t="s">
        <v>47</v>
      </c>
      <c r="D43" t="str">
        <f t="shared" ref="D43:D59" si="1">D42</f>
        <v>Fevereiro</v>
      </c>
      <c r="E43" s="16">
        <v>761849.83</v>
      </c>
      <c r="F43" s="16">
        <v>206378.55</v>
      </c>
      <c r="G43" s="16">
        <v>27.09</v>
      </c>
      <c r="H43" s="16">
        <v>452051.33</v>
      </c>
      <c r="I43" s="16">
        <v>12686.74</v>
      </c>
    </row>
    <row r="44" spans="1:9" x14ac:dyDescent="0.25">
      <c r="A44" s="2" t="s">
        <v>32</v>
      </c>
      <c r="B44" s="2" t="s">
        <v>46</v>
      </c>
      <c r="C44" t="s">
        <v>47</v>
      </c>
      <c r="D44" t="str">
        <f t="shared" si="1"/>
        <v>Fevereiro</v>
      </c>
      <c r="E44" s="16">
        <v>430207.71</v>
      </c>
      <c r="F44" s="16">
        <v>126206.77</v>
      </c>
      <c r="G44" s="16">
        <v>29.34</v>
      </c>
      <c r="H44" s="16">
        <v>238180.12</v>
      </c>
      <c r="I44" s="16">
        <v>0</v>
      </c>
    </row>
    <row r="45" spans="1:9" x14ac:dyDescent="0.25">
      <c r="A45" s="2" t="s">
        <v>2</v>
      </c>
      <c r="B45" s="2" t="s">
        <v>46</v>
      </c>
      <c r="C45" t="s">
        <v>47</v>
      </c>
      <c r="D45" t="str">
        <f t="shared" si="1"/>
        <v>Fevereiro</v>
      </c>
      <c r="E45" s="16">
        <v>352372.8</v>
      </c>
      <c r="F45" s="16">
        <v>117361.84</v>
      </c>
      <c r="G45" s="16">
        <v>33.31</v>
      </c>
      <c r="H45" s="16">
        <v>280590.14</v>
      </c>
      <c r="I45" s="16">
        <v>185.84</v>
      </c>
    </row>
    <row r="46" spans="1:9" x14ac:dyDescent="0.25">
      <c r="A46" s="2" t="s">
        <v>33</v>
      </c>
      <c r="B46" s="2" t="s">
        <v>46</v>
      </c>
      <c r="C46" s="15">
        <v>2025</v>
      </c>
      <c r="D46" t="str">
        <f t="shared" si="1"/>
        <v>Fevereiro</v>
      </c>
      <c r="E46" s="16">
        <v>34090.199999999997</v>
      </c>
      <c r="F46" s="16">
        <v>10623.09</v>
      </c>
      <c r="G46" s="16">
        <v>31.16</v>
      </c>
      <c r="H46" s="16">
        <v>30182.15</v>
      </c>
      <c r="I46" s="16">
        <v>0</v>
      </c>
    </row>
    <row r="47" spans="1:9" x14ac:dyDescent="0.25">
      <c r="A47" s="2" t="s">
        <v>34</v>
      </c>
      <c r="B47" s="2" t="s">
        <v>46</v>
      </c>
      <c r="C47" t="s">
        <v>47</v>
      </c>
      <c r="D47" t="str">
        <f t="shared" si="1"/>
        <v>Fevereiro</v>
      </c>
      <c r="E47" s="17">
        <v>397084.76</v>
      </c>
      <c r="F47" s="17">
        <v>155439.03</v>
      </c>
      <c r="G47" s="17">
        <v>39.15</v>
      </c>
      <c r="H47" s="17">
        <v>197332.7</v>
      </c>
      <c r="I47" s="17">
        <v>6604.92</v>
      </c>
    </row>
    <row r="48" spans="1:9" x14ac:dyDescent="0.25">
      <c r="A48" s="2" t="s">
        <v>4</v>
      </c>
      <c r="B48" s="2" t="s">
        <v>48</v>
      </c>
      <c r="C48" t="s">
        <v>47</v>
      </c>
      <c r="D48" t="str">
        <f t="shared" si="1"/>
        <v>Fevereiro</v>
      </c>
      <c r="E48" s="18">
        <v>762316.2</v>
      </c>
      <c r="F48" s="18">
        <v>208892.08</v>
      </c>
      <c r="G48" s="18">
        <v>27.4</v>
      </c>
      <c r="H48" s="18">
        <v>536386.89</v>
      </c>
      <c r="I48" s="18">
        <v>1142.99</v>
      </c>
    </row>
    <row r="49" spans="1:9" x14ac:dyDescent="0.25">
      <c r="A49" s="2" t="s">
        <v>25</v>
      </c>
      <c r="B49" s="2" t="s">
        <v>48</v>
      </c>
      <c r="C49" t="s">
        <v>47</v>
      </c>
      <c r="D49" t="str">
        <f t="shared" si="1"/>
        <v>Fevereiro</v>
      </c>
      <c r="E49" s="19">
        <v>856413.78</v>
      </c>
      <c r="F49" s="19">
        <v>324676.15999999997</v>
      </c>
      <c r="G49" s="19">
        <v>37.909999999999997</v>
      </c>
      <c r="H49" s="19">
        <v>582280.57999999996</v>
      </c>
      <c r="I49" s="19">
        <v>3838.13</v>
      </c>
    </row>
    <row r="50" spans="1:9" x14ac:dyDescent="0.25">
      <c r="A50" s="2" t="s">
        <v>26</v>
      </c>
      <c r="B50" s="2" t="s">
        <v>48</v>
      </c>
      <c r="C50" t="s">
        <v>47</v>
      </c>
      <c r="D50" t="str">
        <f t="shared" si="1"/>
        <v>Fevereiro</v>
      </c>
      <c r="E50" s="20">
        <v>44291.71</v>
      </c>
      <c r="F50" s="20">
        <v>12388.34</v>
      </c>
      <c r="G50" s="20">
        <v>27.97</v>
      </c>
      <c r="H50" s="20">
        <v>17332.88</v>
      </c>
      <c r="I50" s="20">
        <v>0</v>
      </c>
    </row>
    <row r="51" spans="1:9" x14ac:dyDescent="0.25">
      <c r="A51" s="2" t="s">
        <v>27</v>
      </c>
      <c r="B51" s="2" t="s">
        <v>48</v>
      </c>
      <c r="C51" t="s">
        <v>47</v>
      </c>
      <c r="D51" t="str">
        <f t="shared" si="1"/>
        <v>Fevereiro</v>
      </c>
      <c r="E51" s="21">
        <v>366703.29</v>
      </c>
      <c r="F51" s="21">
        <v>109931.3</v>
      </c>
      <c r="G51" s="21">
        <v>29.98</v>
      </c>
      <c r="H51" s="21">
        <v>220074.05</v>
      </c>
      <c r="I51" s="21">
        <v>1121.04</v>
      </c>
    </row>
    <row r="52" spans="1:9" x14ac:dyDescent="0.25">
      <c r="A52" s="2" t="s">
        <v>1</v>
      </c>
      <c r="B52" s="2" t="s">
        <v>49</v>
      </c>
      <c r="C52" t="s">
        <v>47</v>
      </c>
      <c r="D52" t="str">
        <f t="shared" si="1"/>
        <v>Fevereiro</v>
      </c>
      <c r="E52" s="22">
        <v>2915247.43</v>
      </c>
      <c r="F52" s="22">
        <v>635795.36</v>
      </c>
      <c r="G52" s="22">
        <v>21.81</v>
      </c>
      <c r="H52" s="22">
        <v>1690942.07</v>
      </c>
      <c r="I52" s="22">
        <v>1771.88</v>
      </c>
    </row>
    <row r="53" spans="1:9" x14ac:dyDescent="0.25">
      <c r="A53" s="2" t="s">
        <v>20</v>
      </c>
      <c r="B53" s="2" t="s">
        <v>49</v>
      </c>
      <c r="C53" t="s">
        <v>47</v>
      </c>
      <c r="D53" t="str">
        <f t="shared" si="1"/>
        <v>Fevereiro</v>
      </c>
      <c r="E53" s="23">
        <v>709509.79</v>
      </c>
      <c r="F53" s="23">
        <v>209169.42</v>
      </c>
      <c r="G53" s="23">
        <v>29.48</v>
      </c>
      <c r="H53" s="23">
        <v>543807.41</v>
      </c>
      <c r="I53" s="23">
        <v>9464.02</v>
      </c>
    </row>
    <row r="54" spans="1:9" x14ac:dyDescent="0.25">
      <c r="A54" s="2" t="s">
        <v>21</v>
      </c>
      <c r="B54" s="2" t="s">
        <v>49</v>
      </c>
      <c r="C54" t="s">
        <v>47</v>
      </c>
      <c r="D54" t="str">
        <f t="shared" si="1"/>
        <v>Fevereiro</v>
      </c>
      <c r="E54" s="24">
        <v>349857.47</v>
      </c>
      <c r="F54" s="24">
        <v>115671.74</v>
      </c>
      <c r="G54" s="24">
        <v>33.06</v>
      </c>
      <c r="H54" s="24">
        <v>272520.34000000003</v>
      </c>
      <c r="I54" s="24">
        <v>0</v>
      </c>
    </row>
    <row r="55" spans="1:9" x14ac:dyDescent="0.25">
      <c r="A55" s="2" t="s">
        <v>22</v>
      </c>
      <c r="B55" s="2" t="s">
        <v>49</v>
      </c>
      <c r="C55" t="s">
        <v>47</v>
      </c>
      <c r="D55" t="str">
        <f t="shared" si="1"/>
        <v>Fevereiro</v>
      </c>
      <c r="E55" s="25">
        <v>367826.22</v>
      </c>
      <c r="F55" s="25">
        <v>110944.17</v>
      </c>
      <c r="G55" s="25">
        <v>30.16</v>
      </c>
      <c r="H55" s="25">
        <v>262880.03999999998</v>
      </c>
      <c r="I55" s="25">
        <v>3659.91</v>
      </c>
    </row>
    <row r="56" spans="1:9" x14ac:dyDescent="0.25">
      <c r="A56" s="2" t="s">
        <v>15</v>
      </c>
      <c r="B56" s="2" t="s">
        <v>50</v>
      </c>
      <c r="C56" t="s">
        <v>47</v>
      </c>
      <c r="D56" t="str">
        <f t="shared" si="1"/>
        <v>Fevereiro</v>
      </c>
      <c r="E56" s="26">
        <v>1236632.8600000001</v>
      </c>
      <c r="F56" s="26">
        <v>169043.89</v>
      </c>
      <c r="G56" s="26">
        <v>13.67</v>
      </c>
      <c r="H56" s="26">
        <v>1208213.27</v>
      </c>
      <c r="I56" s="26">
        <v>3975</v>
      </c>
    </row>
    <row r="57" spans="1:9" x14ac:dyDescent="0.25">
      <c r="A57" s="2" t="s">
        <v>17</v>
      </c>
      <c r="B57" s="2" t="s">
        <v>50</v>
      </c>
      <c r="C57" t="s">
        <v>47</v>
      </c>
      <c r="D57" t="str">
        <f t="shared" si="1"/>
        <v>Fevereiro</v>
      </c>
      <c r="E57" s="27">
        <v>2237711.7999999998</v>
      </c>
      <c r="F57" s="27">
        <v>450934.97</v>
      </c>
      <c r="G57" s="27">
        <v>20.149999999999999</v>
      </c>
      <c r="H57" s="27">
        <v>1915804.01</v>
      </c>
      <c r="I57" s="27">
        <v>85347.4</v>
      </c>
    </row>
    <row r="58" spans="1:9" x14ac:dyDescent="0.25">
      <c r="A58" s="2" t="s">
        <v>18</v>
      </c>
      <c r="B58" s="2" t="s">
        <v>50</v>
      </c>
      <c r="C58" t="s">
        <v>47</v>
      </c>
      <c r="D58" t="str">
        <f t="shared" si="1"/>
        <v>Fevereiro</v>
      </c>
      <c r="E58" s="28">
        <v>137488.89000000001</v>
      </c>
      <c r="F58" s="28">
        <v>41719.39</v>
      </c>
      <c r="G58" s="28">
        <v>30.34</v>
      </c>
      <c r="H58" s="28">
        <v>93911.34</v>
      </c>
      <c r="I58" s="28">
        <v>586.98</v>
      </c>
    </row>
    <row r="59" spans="1:9" x14ac:dyDescent="0.25">
      <c r="A59" s="2" t="s">
        <v>3</v>
      </c>
      <c r="B59" s="2" t="s">
        <v>51</v>
      </c>
      <c r="C59" t="s">
        <v>47</v>
      </c>
      <c r="D59" t="str">
        <f t="shared" si="1"/>
        <v>Fevereiro</v>
      </c>
      <c r="E59" s="29">
        <v>1516654.2</v>
      </c>
      <c r="F59" s="29">
        <v>543344.48</v>
      </c>
      <c r="G59" s="29">
        <v>35.83</v>
      </c>
      <c r="H59" s="29">
        <v>853363.75</v>
      </c>
      <c r="I59" s="29">
        <v>0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796B-0EF2-4785-970B-A7817D5235B3}">
  <dimension ref="A1:I59"/>
  <sheetViews>
    <sheetView topLeftCell="A28" workbookViewId="0">
      <selection activeCell="F61" sqref="F61"/>
    </sheetView>
  </sheetViews>
  <sheetFormatPr defaultRowHeight="15" x14ac:dyDescent="0.25"/>
  <cols>
    <col min="1" max="1" width="27.140625" bestFit="1" customWidth="1"/>
    <col min="2" max="2" width="10.85546875" bestFit="1" customWidth="1"/>
    <col min="4" max="4" width="10.140625" customWidth="1"/>
    <col min="5" max="5" width="11.7109375" bestFit="1" customWidth="1"/>
    <col min="6" max="6" width="10.140625" bestFit="1" customWidth="1"/>
    <col min="8" max="8" width="11.7109375" bestFit="1" customWidth="1"/>
    <col min="9" max="9" width="10.140625" bestFit="1" customWidth="1"/>
  </cols>
  <sheetData>
    <row r="1" spans="1:9" x14ac:dyDescent="0.25">
      <c r="A1" s="2" t="s">
        <v>35</v>
      </c>
      <c r="B1" s="2" t="s">
        <v>5</v>
      </c>
      <c r="C1" t="s">
        <v>36</v>
      </c>
      <c r="D1" t="s">
        <v>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s="2" t="s">
        <v>42</v>
      </c>
      <c r="E2" s="3" t="s">
        <v>43</v>
      </c>
      <c r="G2" s="3" t="s">
        <v>44</v>
      </c>
      <c r="H2" s="3" t="s">
        <v>43</v>
      </c>
      <c r="I2" s="3" t="s">
        <v>45</v>
      </c>
    </row>
    <row r="3" spans="1:9" x14ac:dyDescent="0.25">
      <c r="A3" s="2" t="s">
        <v>29</v>
      </c>
      <c r="B3" s="2" t="s">
        <v>46</v>
      </c>
      <c r="C3">
        <v>2026</v>
      </c>
      <c r="D3" t="s">
        <v>16</v>
      </c>
      <c r="E3" s="3">
        <v>52188.26</v>
      </c>
      <c r="F3" s="3">
        <v>18498.11</v>
      </c>
      <c r="G3" s="3">
        <v>35.44</v>
      </c>
      <c r="H3" s="3">
        <v>17031.330000000002</v>
      </c>
      <c r="I3" s="3">
        <v>0</v>
      </c>
    </row>
    <row r="4" spans="1:9" x14ac:dyDescent="0.25">
      <c r="A4" s="2" t="s">
        <v>30</v>
      </c>
      <c r="B4" s="2" t="s">
        <v>46</v>
      </c>
      <c r="C4">
        <v>2026</v>
      </c>
      <c r="D4" t="str">
        <f>D3</f>
        <v>Março</v>
      </c>
      <c r="E4" s="3">
        <v>457607.91</v>
      </c>
      <c r="F4" s="3">
        <v>146898.73000000001</v>
      </c>
      <c r="G4" s="3">
        <v>32.1</v>
      </c>
      <c r="H4" s="3">
        <v>194787.79</v>
      </c>
      <c r="I4" s="3">
        <v>265.04000000000002</v>
      </c>
    </row>
    <row r="5" spans="1:9" x14ac:dyDescent="0.25">
      <c r="A5" s="2" t="s">
        <v>31</v>
      </c>
      <c r="B5" s="2" t="s">
        <v>46</v>
      </c>
      <c r="C5">
        <v>2026</v>
      </c>
      <c r="D5" t="str">
        <f t="shared" ref="D5:D21" si="0">D4</f>
        <v>Março</v>
      </c>
      <c r="E5" s="3">
        <v>371703.2</v>
      </c>
      <c r="F5" s="3">
        <v>111243.44</v>
      </c>
      <c r="G5" s="3">
        <v>29.93</v>
      </c>
      <c r="H5" s="3">
        <v>168115.17</v>
      </c>
      <c r="I5" s="3">
        <v>4781.07</v>
      </c>
    </row>
    <row r="6" spans="1:9" x14ac:dyDescent="0.25">
      <c r="A6" s="2" t="s">
        <v>32</v>
      </c>
      <c r="B6" s="2" t="s">
        <v>46</v>
      </c>
      <c r="C6">
        <v>2026</v>
      </c>
      <c r="D6" t="str">
        <f t="shared" si="0"/>
        <v>Março</v>
      </c>
      <c r="E6" s="3">
        <v>238115.26</v>
      </c>
      <c r="F6" s="3">
        <v>36170.339999999997</v>
      </c>
      <c r="G6" s="3">
        <v>15.19</v>
      </c>
      <c r="H6" s="3">
        <v>119001.60000000001</v>
      </c>
      <c r="I6" s="3">
        <v>0</v>
      </c>
    </row>
    <row r="7" spans="1:9" x14ac:dyDescent="0.25">
      <c r="A7" s="2" t="s">
        <v>2</v>
      </c>
      <c r="B7" s="2" t="s">
        <v>46</v>
      </c>
      <c r="C7">
        <v>2026</v>
      </c>
      <c r="D7" t="str">
        <f t="shared" si="0"/>
        <v>Março</v>
      </c>
      <c r="E7" s="3">
        <v>217557.24</v>
      </c>
      <c r="F7" s="3">
        <v>60398.28</v>
      </c>
      <c r="G7" s="3">
        <v>27.76</v>
      </c>
      <c r="H7" s="3">
        <v>131748</v>
      </c>
      <c r="I7" s="3">
        <v>3831.8</v>
      </c>
    </row>
    <row r="8" spans="1:9" x14ac:dyDescent="0.25">
      <c r="A8" s="2" t="s">
        <v>33</v>
      </c>
      <c r="B8" s="2" t="s">
        <v>46</v>
      </c>
      <c r="C8">
        <v>2026</v>
      </c>
      <c r="D8" t="str">
        <f t="shared" si="0"/>
        <v>Março</v>
      </c>
      <c r="E8" s="3">
        <v>17546.38</v>
      </c>
      <c r="F8" s="3">
        <v>5194.68</v>
      </c>
      <c r="G8" s="3">
        <v>29.61</v>
      </c>
      <c r="H8" s="3">
        <v>13092.48</v>
      </c>
      <c r="I8" s="3">
        <v>632.85</v>
      </c>
    </row>
    <row r="9" spans="1:9" x14ac:dyDescent="0.25">
      <c r="A9" s="2" t="s">
        <v>34</v>
      </c>
      <c r="B9" s="2" t="s">
        <v>46</v>
      </c>
      <c r="C9">
        <v>2026</v>
      </c>
      <c r="D9" t="str">
        <f t="shared" si="0"/>
        <v>Março</v>
      </c>
      <c r="E9" s="3">
        <v>193603.02</v>
      </c>
      <c r="F9" s="3">
        <v>60960.43</v>
      </c>
      <c r="G9" s="3">
        <v>31.49</v>
      </c>
      <c r="H9" s="3">
        <v>80224.38</v>
      </c>
      <c r="I9" s="3">
        <v>2.66</v>
      </c>
    </row>
    <row r="10" spans="1:9" x14ac:dyDescent="0.25">
      <c r="A10" s="2" t="s">
        <v>4</v>
      </c>
      <c r="B10" s="2" t="s">
        <v>48</v>
      </c>
      <c r="C10">
        <v>2026</v>
      </c>
      <c r="D10" t="str">
        <f t="shared" si="0"/>
        <v>Março</v>
      </c>
      <c r="E10" s="3">
        <v>383512.7</v>
      </c>
      <c r="F10" s="3">
        <v>114804</v>
      </c>
      <c r="G10" s="3">
        <v>29.93</v>
      </c>
      <c r="H10" s="3">
        <v>224945.19</v>
      </c>
      <c r="I10" s="3">
        <v>2366</v>
      </c>
    </row>
    <row r="11" spans="1:9" x14ac:dyDescent="0.25">
      <c r="A11" s="2" t="s">
        <v>25</v>
      </c>
      <c r="B11" s="2" t="s">
        <v>48</v>
      </c>
      <c r="C11">
        <v>2026</v>
      </c>
      <c r="D11" t="str">
        <f t="shared" si="0"/>
        <v>Março</v>
      </c>
      <c r="E11" s="3">
        <v>434012.3</v>
      </c>
      <c r="F11" s="3">
        <v>176920.68</v>
      </c>
      <c r="G11" s="3">
        <v>40.76</v>
      </c>
      <c r="H11" s="3">
        <v>205298.3</v>
      </c>
      <c r="I11" s="3">
        <v>7687.61</v>
      </c>
    </row>
    <row r="12" spans="1:9" x14ac:dyDescent="0.25">
      <c r="A12" s="2" t="s">
        <v>26</v>
      </c>
      <c r="B12" s="2" t="s">
        <v>48</v>
      </c>
      <c r="C12">
        <v>2026</v>
      </c>
      <c r="D12" t="str">
        <f t="shared" si="0"/>
        <v>Março</v>
      </c>
      <c r="E12" s="3">
        <v>28882.83</v>
      </c>
      <c r="F12" s="3">
        <v>8203.02</v>
      </c>
      <c r="G12" s="3">
        <v>28.4</v>
      </c>
      <c r="H12" s="3">
        <v>35969.9</v>
      </c>
      <c r="I12" s="3">
        <v>371.47</v>
      </c>
    </row>
    <row r="13" spans="1:9" x14ac:dyDescent="0.25">
      <c r="A13" s="2" t="s">
        <v>27</v>
      </c>
      <c r="B13" s="2" t="s">
        <v>48</v>
      </c>
      <c r="C13">
        <v>2026</v>
      </c>
      <c r="D13" t="str">
        <f t="shared" si="0"/>
        <v>Março</v>
      </c>
      <c r="E13" s="3">
        <v>193505.85</v>
      </c>
      <c r="F13" s="3">
        <v>57779.69</v>
      </c>
      <c r="G13" s="3">
        <v>29.86</v>
      </c>
      <c r="H13" s="3">
        <v>96548.15</v>
      </c>
      <c r="I13" s="3">
        <v>1032.31</v>
      </c>
    </row>
    <row r="14" spans="1:9" x14ac:dyDescent="0.25">
      <c r="A14" s="2" t="s">
        <v>1</v>
      </c>
      <c r="B14" s="2" t="s">
        <v>49</v>
      </c>
      <c r="C14">
        <v>2026</v>
      </c>
      <c r="D14" t="str">
        <f t="shared" si="0"/>
        <v>Março</v>
      </c>
      <c r="E14" s="3">
        <v>1346544.88</v>
      </c>
      <c r="F14" s="3">
        <v>337450.01</v>
      </c>
      <c r="G14" s="3">
        <v>25.06</v>
      </c>
      <c r="H14" s="3">
        <v>1176223.32</v>
      </c>
      <c r="I14" s="3">
        <v>333.4</v>
      </c>
    </row>
    <row r="15" spans="1:9" x14ac:dyDescent="0.25">
      <c r="A15" s="2" t="s">
        <v>20</v>
      </c>
      <c r="B15" s="2" t="s">
        <v>49</v>
      </c>
      <c r="C15">
        <v>2026</v>
      </c>
      <c r="D15" t="str">
        <f t="shared" si="0"/>
        <v>Março</v>
      </c>
      <c r="E15" s="3">
        <v>344716.52</v>
      </c>
      <c r="F15" s="3">
        <v>92725.19</v>
      </c>
      <c r="G15" s="3">
        <v>26.9</v>
      </c>
      <c r="H15" s="3">
        <v>282639.52</v>
      </c>
      <c r="I15" s="3">
        <v>1034.8399999999999</v>
      </c>
    </row>
    <row r="16" spans="1:9" x14ac:dyDescent="0.25">
      <c r="A16" s="2" t="s">
        <v>21</v>
      </c>
      <c r="B16" s="2" t="s">
        <v>49</v>
      </c>
      <c r="C16">
        <v>2026</v>
      </c>
      <c r="D16" t="str">
        <f t="shared" si="0"/>
        <v>Março</v>
      </c>
      <c r="E16" s="3">
        <v>171656.94</v>
      </c>
      <c r="F16" s="3">
        <v>56437.279999999999</v>
      </c>
      <c r="G16" s="3">
        <v>32.880000000000003</v>
      </c>
      <c r="H16" s="3">
        <v>130301.58</v>
      </c>
      <c r="I16" s="3">
        <v>145.19999999999999</v>
      </c>
    </row>
    <row r="17" spans="1:9" x14ac:dyDescent="0.25">
      <c r="A17" s="2" t="s">
        <v>22</v>
      </c>
      <c r="B17" s="2" t="s">
        <v>49</v>
      </c>
      <c r="C17">
        <v>2026</v>
      </c>
      <c r="D17" t="str">
        <f t="shared" si="0"/>
        <v>Março</v>
      </c>
      <c r="E17" s="3">
        <v>176509.11</v>
      </c>
      <c r="F17" s="3">
        <v>53121.22</v>
      </c>
      <c r="G17" s="3">
        <v>30.1</v>
      </c>
      <c r="H17" s="3">
        <v>89001.07</v>
      </c>
      <c r="I17" s="3">
        <v>3850.27</v>
      </c>
    </row>
    <row r="18" spans="1:9" x14ac:dyDescent="0.25">
      <c r="A18" s="2" t="s">
        <v>15</v>
      </c>
      <c r="B18" s="2" t="s">
        <v>50</v>
      </c>
      <c r="C18">
        <v>2026</v>
      </c>
      <c r="D18" t="str">
        <f t="shared" si="0"/>
        <v>Março</v>
      </c>
      <c r="E18" s="3">
        <v>535972.96</v>
      </c>
      <c r="F18" s="3">
        <v>80455.490000000005</v>
      </c>
      <c r="G18" s="3">
        <v>15.01</v>
      </c>
      <c r="H18" s="3">
        <v>485497.61</v>
      </c>
      <c r="I18" s="3">
        <v>0</v>
      </c>
    </row>
    <row r="19" spans="1:9" x14ac:dyDescent="0.25">
      <c r="A19" s="2" t="s">
        <v>17</v>
      </c>
      <c r="B19" s="2" t="s">
        <v>50</v>
      </c>
      <c r="C19">
        <v>2026</v>
      </c>
      <c r="D19" t="str">
        <f t="shared" si="0"/>
        <v>Março</v>
      </c>
      <c r="E19" s="3">
        <v>888826.45</v>
      </c>
      <c r="F19" s="3">
        <v>169997.62</v>
      </c>
      <c r="G19" s="3">
        <v>19.13</v>
      </c>
      <c r="H19" s="3">
        <v>998135.67</v>
      </c>
      <c r="I19" s="3">
        <v>25556.49</v>
      </c>
    </row>
    <row r="20" spans="1:9" x14ac:dyDescent="0.25">
      <c r="A20" s="2" t="s">
        <v>18</v>
      </c>
      <c r="B20" s="2" t="s">
        <v>50</v>
      </c>
      <c r="C20">
        <v>2026</v>
      </c>
      <c r="D20" t="str">
        <f t="shared" si="0"/>
        <v>Março</v>
      </c>
      <c r="E20" s="3">
        <v>55261.79</v>
      </c>
      <c r="F20" s="3">
        <v>13715.02</v>
      </c>
      <c r="G20" s="3">
        <v>24.82</v>
      </c>
      <c r="H20" s="3">
        <v>21944.17</v>
      </c>
      <c r="I20" s="3">
        <v>0</v>
      </c>
    </row>
    <row r="21" spans="1:9" x14ac:dyDescent="0.25">
      <c r="A21" s="2" t="s">
        <v>3</v>
      </c>
      <c r="B21" s="2" t="s">
        <v>51</v>
      </c>
      <c r="C21">
        <v>2026</v>
      </c>
      <c r="D21" t="str">
        <f t="shared" si="0"/>
        <v>Março</v>
      </c>
      <c r="E21" s="3">
        <v>740235.83</v>
      </c>
      <c r="F21" s="3">
        <v>237875.25</v>
      </c>
      <c r="G21" s="3">
        <v>32.14</v>
      </c>
      <c r="H21" s="3">
        <v>556099.09</v>
      </c>
      <c r="I21" s="3">
        <v>584.5</v>
      </c>
    </row>
    <row r="22" spans="1:9" x14ac:dyDescent="0.25">
      <c r="A22" s="2" t="s">
        <v>29</v>
      </c>
      <c r="B22" s="2" t="s">
        <v>46</v>
      </c>
      <c r="C22">
        <v>2026</v>
      </c>
      <c r="D22" t="s">
        <v>52</v>
      </c>
      <c r="E22" s="3">
        <v>141436.46</v>
      </c>
      <c r="F22" s="3">
        <v>43695.61</v>
      </c>
      <c r="G22" s="3">
        <v>30.89</v>
      </c>
      <c r="H22" s="3">
        <v>19624.32</v>
      </c>
      <c r="I22" s="3">
        <v>4567.04</v>
      </c>
    </row>
    <row r="23" spans="1:9" x14ac:dyDescent="0.25">
      <c r="A23" s="2" t="s">
        <v>30</v>
      </c>
      <c r="B23" s="2" t="s">
        <v>46</v>
      </c>
      <c r="C23">
        <v>2026</v>
      </c>
      <c r="D23" t="str">
        <f>D22</f>
        <v>Janeiro</v>
      </c>
      <c r="E23" s="3">
        <v>986640.68</v>
      </c>
      <c r="F23" s="3">
        <v>314844.95</v>
      </c>
      <c r="G23" s="3">
        <v>31.91</v>
      </c>
      <c r="H23" s="3">
        <v>298620.21999999997</v>
      </c>
      <c r="I23" s="3">
        <v>4605.8999999999996</v>
      </c>
    </row>
    <row r="24" spans="1:9" x14ac:dyDescent="0.25">
      <c r="A24" s="2" t="s">
        <v>31</v>
      </c>
      <c r="B24" s="2" t="s">
        <v>46</v>
      </c>
      <c r="C24">
        <v>2026</v>
      </c>
      <c r="D24" t="str">
        <f t="shared" ref="D24:D40" si="1">D23</f>
        <v>Janeiro</v>
      </c>
      <c r="E24" s="3">
        <v>845332.18</v>
      </c>
      <c r="F24" s="3">
        <v>233313.97</v>
      </c>
      <c r="G24" s="3">
        <v>27.6</v>
      </c>
      <c r="H24" s="3">
        <v>274412.31</v>
      </c>
      <c r="I24" s="3">
        <v>11246.52</v>
      </c>
    </row>
    <row r="25" spans="1:9" x14ac:dyDescent="0.25">
      <c r="A25" s="2" t="s">
        <v>32</v>
      </c>
      <c r="B25" s="2" t="s">
        <v>46</v>
      </c>
      <c r="C25">
        <v>2026</v>
      </c>
      <c r="D25" t="str">
        <f t="shared" si="1"/>
        <v>Janeiro</v>
      </c>
      <c r="E25" s="3">
        <v>548854.38</v>
      </c>
      <c r="F25" s="3">
        <v>56335.53</v>
      </c>
      <c r="G25" s="3">
        <v>10.26</v>
      </c>
      <c r="H25" s="3">
        <v>391934.91</v>
      </c>
      <c r="I25" s="3">
        <v>0</v>
      </c>
    </row>
    <row r="26" spans="1:9" x14ac:dyDescent="0.25">
      <c r="A26" s="2" t="s">
        <v>2</v>
      </c>
      <c r="B26" s="2" t="s">
        <v>46</v>
      </c>
      <c r="C26">
        <v>2026</v>
      </c>
      <c r="D26" t="str">
        <f t="shared" si="1"/>
        <v>Janeiro</v>
      </c>
      <c r="E26" s="3">
        <v>467960.95</v>
      </c>
      <c r="F26" s="3">
        <v>133498.74</v>
      </c>
      <c r="G26" s="3">
        <v>28.53</v>
      </c>
      <c r="H26" s="3">
        <v>150780.68</v>
      </c>
      <c r="I26" s="3">
        <v>169.92</v>
      </c>
    </row>
    <row r="27" spans="1:9" x14ac:dyDescent="0.25">
      <c r="A27" s="2" t="s">
        <v>33</v>
      </c>
      <c r="B27" s="2" t="s">
        <v>46</v>
      </c>
      <c r="C27">
        <v>2026</v>
      </c>
      <c r="D27" t="str">
        <f t="shared" si="1"/>
        <v>Janeiro</v>
      </c>
      <c r="E27" s="3">
        <v>36740.42</v>
      </c>
      <c r="F27" s="3">
        <v>9678.2099999999991</v>
      </c>
      <c r="G27" s="3">
        <v>26.34</v>
      </c>
      <c r="H27" s="3">
        <v>9692.98</v>
      </c>
      <c r="I27" s="3">
        <v>0</v>
      </c>
    </row>
    <row r="28" spans="1:9" x14ac:dyDescent="0.25">
      <c r="A28" s="2" t="s">
        <v>34</v>
      </c>
      <c r="B28" s="2" t="s">
        <v>46</v>
      </c>
      <c r="C28">
        <v>2026</v>
      </c>
      <c r="D28" t="str">
        <f t="shared" si="1"/>
        <v>Janeiro</v>
      </c>
      <c r="E28" s="3">
        <v>486935.08</v>
      </c>
      <c r="F28" s="3">
        <v>156115.15</v>
      </c>
      <c r="G28" s="3">
        <v>32.06</v>
      </c>
      <c r="H28" s="3">
        <v>236679.86</v>
      </c>
      <c r="I28" s="3">
        <v>382.69</v>
      </c>
    </row>
    <row r="29" spans="1:9" x14ac:dyDescent="0.25">
      <c r="A29" s="2" t="s">
        <v>4</v>
      </c>
      <c r="B29" s="2" t="s">
        <v>48</v>
      </c>
      <c r="C29">
        <v>2026</v>
      </c>
      <c r="D29" t="str">
        <f t="shared" si="1"/>
        <v>Janeiro</v>
      </c>
      <c r="E29" s="3">
        <v>897359.87</v>
      </c>
      <c r="F29" s="3">
        <v>257508.82</v>
      </c>
      <c r="G29" s="3">
        <v>28.7</v>
      </c>
      <c r="H29" s="3">
        <v>281780.24</v>
      </c>
      <c r="I29" s="3">
        <v>1205.22</v>
      </c>
    </row>
    <row r="30" spans="1:9" x14ac:dyDescent="0.25">
      <c r="A30" s="2" t="s">
        <v>25</v>
      </c>
      <c r="B30" s="2" t="s">
        <v>48</v>
      </c>
      <c r="C30">
        <v>2026</v>
      </c>
      <c r="D30" t="str">
        <f t="shared" si="1"/>
        <v>Janeiro</v>
      </c>
      <c r="E30" s="3">
        <v>909409.3</v>
      </c>
      <c r="F30" s="3">
        <v>369718.91</v>
      </c>
      <c r="G30" s="3">
        <v>40.65</v>
      </c>
      <c r="H30" s="3">
        <v>388151.95</v>
      </c>
      <c r="I30" s="3">
        <v>15896.55</v>
      </c>
    </row>
    <row r="31" spans="1:9" x14ac:dyDescent="0.25">
      <c r="A31" s="2" t="s">
        <v>26</v>
      </c>
      <c r="B31" s="2" t="s">
        <v>48</v>
      </c>
      <c r="C31">
        <v>2026</v>
      </c>
      <c r="D31" t="str">
        <f t="shared" si="1"/>
        <v>Janeiro</v>
      </c>
      <c r="E31" s="3">
        <v>54811.199999999997</v>
      </c>
      <c r="F31" s="3">
        <v>16726.91</v>
      </c>
      <c r="G31" s="3">
        <v>30.52</v>
      </c>
      <c r="H31" s="3">
        <v>40632.42</v>
      </c>
      <c r="I31" s="3">
        <v>357.87</v>
      </c>
    </row>
    <row r="32" spans="1:9" x14ac:dyDescent="0.25">
      <c r="A32" s="2" t="s">
        <v>27</v>
      </c>
      <c r="B32" s="2" t="s">
        <v>48</v>
      </c>
      <c r="C32">
        <v>2026</v>
      </c>
      <c r="D32" t="str">
        <f t="shared" si="1"/>
        <v>Janeiro</v>
      </c>
      <c r="E32" s="3">
        <v>433662.99</v>
      </c>
      <c r="F32" s="3">
        <v>121560.35</v>
      </c>
      <c r="G32" s="3">
        <v>28.03</v>
      </c>
      <c r="H32" s="3">
        <v>223245.78</v>
      </c>
      <c r="I32" s="3">
        <v>40.97</v>
      </c>
    </row>
    <row r="33" spans="1:9" x14ac:dyDescent="0.25">
      <c r="A33" s="2" t="s">
        <v>1</v>
      </c>
      <c r="B33" s="2" t="s">
        <v>49</v>
      </c>
      <c r="C33">
        <v>2026</v>
      </c>
      <c r="D33" t="str">
        <f t="shared" si="1"/>
        <v>Janeiro</v>
      </c>
      <c r="E33" s="3">
        <v>3113326.77</v>
      </c>
      <c r="F33" s="3">
        <v>776886.92</v>
      </c>
      <c r="G33" s="3">
        <v>24.95</v>
      </c>
      <c r="H33" s="3">
        <v>1774332.18</v>
      </c>
      <c r="I33" s="3">
        <v>12144.2</v>
      </c>
    </row>
    <row r="34" spans="1:9" x14ac:dyDescent="0.25">
      <c r="A34" s="2" t="s">
        <v>20</v>
      </c>
      <c r="B34" s="2" t="s">
        <v>49</v>
      </c>
      <c r="C34">
        <v>2026</v>
      </c>
      <c r="D34" t="str">
        <f t="shared" si="1"/>
        <v>Janeiro</v>
      </c>
      <c r="E34" s="3">
        <v>841308.26</v>
      </c>
      <c r="F34" s="3">
        <v>249491.77</v>
      </c>
      <c r="G34" s="3">
        <v>29.66</v>
      </c>
      <c r="H34" s="3">
        <v>614660.99</v>
      </c>
      <c r="I34" s="3">
        <v>3906.09</v>
      </c>
    </row>
    <row r="35" spans="1:9" x14ac:dyDescent="0.25">
      <c r="A35" s="2" t="s">
        <v>21</v>
      </c>
      <c r="B35" s="2" t="s">
        <v>49</v>
      </c>
      <c r="C35">
        <v>2026</v>
      </c>
      <c r="D35" t="str">
        <f t="shared" si="1"/>
        <v>Janeiro</v>
      </c>
      <c r="E35" s="3">
        <v>383544.87</v>
      </c>
      <c r="F35" s="3">
        <v>124645.88</v>
      </c>
      <c r="G35" s="3">
        <v>32.5</v>
      </c>
      <c r="H35" s="3">
        <v>267447.90000000002</v>
      </c>
      <c r="I35" s="3">
        <v>957</v>
      </c>
    </row>
    <row r="36" spans="1:9" x14ac:dyDescent="0.25">
      <c r="A36" s="2" t="s">
        <v>22</v>
      </c>
      <c r="B36" s="2" t="s">
        <v>49</v>
      </c>
      <c r="C36">
        <v>2026</v>
      </c>
      <c r="D36" t="str">
        <f t="shared" si="1"/>
        <v>Janeiro</v>
      </c>
      <c r="E36" s="3">
        <v>403457.23</v>
      </c>
      <c r="F36" s="3">
        <v>118342.14</v>
      </c>
      <c r="G36" s="3">
        <v>29.33</v>
      </c>
      <c r="H36" s="3">
        <v>250181.99</v>
      </c>
      <c r="I36" s="3">
        <v>9836.94</v>
      </c>
    </row>
    <row r="37" spans="1:9" x14ac:dyDescent="0.25">
      <c r="A37" s="2" t="s">
        <v>15</v>
      </c>
      <c r="B37" s="2" t="s">
        <v>50</v>
      </c>
      <c r="C37">
        <v>2026</v>
      </c>
      <c r="D37" t="str">
        <f t="shared" si="1"/>
        <v>Janeiro</v>
      </c>
      <c r="E37" s="3">
        <v>1165886.21</v>
      </c>
      <c r="F37" s="3">
        <v>132651.93</v>
      </c>
      <c r="G37" s="3">
        <v>11.38</v>
      </c>
      <c r="H37" s="3">
        <v>1160681.81</v>
      </c>
      <c r="I37" s="3">
        <v>21527.4</v>
      </c>
    </row>
    <row r="38" spans="1:9" x14ac:dyDescent="0.25">
      <c r="A38" s="2" t="s">
        <v>17</v>
      </c>
      <c r="B38" s="2" t="s">
        <v>50</v>
      </c>
      <c r="C38">
        <v>2026</v>
      </c>
      <c r="D38" t="str">
        <f t="shared" si="1"/>
        <v>Janeiro</v>
      </c>
      <c r="E38" s="3">
        <v>2318668.65</v>
      </c>
      <c r="F38" s="3">
        <v>434408.98</v>
      </c>
      <c r="G38" s="3">
        <v>18.739999999999998</v>
      </c>
      <c r="H38" s="3">
        <v>1760258.35</v>
      </c>
      <c r="I38" s="3">
        <v>131823.53</v>
      </c>
    </row>
    <row r="39" spans="1:9" x14ac:dyDescent="0.25">
      <c r="A39" s="2" t="s">
        <v>18</v>
      </c>
      <c r="B39" s="2" t="s">
        <v>50</v>
      </c>
      <c r="C39">
        <v>2026</v>
      </c>
      <c r="D39" t="str">
        <f t="shared" si="1"/>
        <v>Janeiro</v>
      </c>
      <c r="E39" s="3">
        <v>135381.14000000001</v>
      </c>
      <c r="F39" s="3">
        <v>21351.86</v>
      </c>
      <c r="G39" s="3">
        <v>15.77</v>
      </c>
      <c r="H39" s="3">
        <v>22762.34</v>
      </c>
      <c r="I39" s="3">
        <v>672.24</v>
      </c>
    </row>
    <row r="40" spans="1:9" x14ac:dyDescent="0.25">
      <c r="A40" s="2" t="s">
        <v>3</v>
      </c>
      <c r="B40" s="2" t="s">
        <v>51</v>
      </c>
      <c r="C40">
        <v>2026</v>
      </c>
      <c r="D40" t="str">
        <f t="shared" si="1"/>
        <v>Janeiro</v>
      </c>
      <c r="E40" s="3">
        <v>1812917.4</v>
      </c>
      <c r="F40" s="3">
        <v>639602.30000000005</v>
      </c>
      <c r="G40" s="3">
        <v>35.28</v>
      </c>
      <c r="H40" s="3">
        <v>1277828.79</v>
      </c>
      <c r="I40" s="3">
        <v>1400</v>
      </c>
    </row>
    <row r="41" spans="1:9" x14ac:dyDescent="0.25">
      <c r="A41" s="2" t="s">
        <v>29</v>
      </c>
      <c r="B41" s="2" t="s">
        <v>46</v>
      </c>
      <c r="C41">
        <v>2026</v>
      </c>
      <c r="D41" t="s">
        <v>53</v>
      </c>
      <c r="E41" s="30">
        <v>116043.3</v>
      </c>
      <c r="F41" s="30">
        <v>37973.01</v>
      </c>
      <c r="G41" s="30">
        <v>32.72</v>
      </c>
      <c r="H41" s="30">
        <v>41779.97</v>
      </c>
      <c r="I41" s="30">
        <v>98.2</v>
      </c>
    </row>
    <row r="42" spans="1:9" x14ac:dyDescent="0.25">
      <c r="A42" s="2" t="s">
        <v>30</v>
      </c>
      <c r="B42" s="2" t="s">
        <v>46</v>
      </c>
      <c r="C42">
        <v>2026</v>
      </c>
      <c r="D42" t="str">
        <f>D41</f>
        <v>Fevereiro</v>
      </c>
      <c r="E42" s="30">
        <v>960474.51</v>
      </c>
      <c r="F42" s="30">
        <v>311973.40999999997</v>
      </c>
      <c r="G42" s="30">
        <v>32.479999999999997</v>
      </c>
      <c r="H42" s="30">
        <v>596240.79</v>
      </c>
      <c r="I42" s="30">
        <v>790.4</v>
      </c>
    </row>
    <row r="43" spans="1:9" x14ac:dyDescent="0.25">
      <c r="A43" s="2" t="s">
        <v>31</v>
      </c>
      <c r="B43" s="2" t="s">
        <v>46</v>
      </c>
      <c r="C43">
        <v>2026</v>
      </c>
      <c r="D43" t="str">
        <f t="shared" ref="D43:D59" si="2">D42</f>
        <v>Fevereiro</v>
      </c>
      <c r="E43" s="30">
        <v>861377.98</v>
      </c>
      <c r="F43" s="30">
        <v>220486.6</v>
      </c>
      <c r="G43" s="30">
        <v>25.6</v>
      </c>
      <c r="H43" s="30">
        <v>644522.91</v>
      </c>
      <c r="I43" s="30">
        <v>5136.6000000000004</v>
      </c>
    </row>
    <row r="44" spans="1:9" x14ac:dyDescent="0.25">
      <c r="A44" s="2" t="s">
        <v>32</v>
      </c>
      <c r="B44" s="2" t="s">
        <v>46</v>
      </c>
      <c r="C44">
        <v>2026</v>
      </c>
      <c r="D44" t="str">
        <f t="shared" si="2"/>
        <v>Fevereiro</v>
      </c>
      <c r="E44" s="30">
        <v>577599.1</v>
      </c>
      <c r="F44" s="30">
        <v>53498.65</v>
      </c>
      <c r="G44" s="30">
        <v>9.26</v>
      </c>
      <c r="H44" s="30">
        <v>878700.36</v>
      </c>
      <c r="I44" s="30">
        <v>3406.6</v>
      </c>
    </row>
    <row r="45" spans="1:9" x14ac:dyDescent="0.25">
      <c r="A45" s="2" t="s">
        <v>2</v>
      </c>
      <c r="B45" s="2" t="s">
        <v>46</v>
      </c>
      <c r="C45">
        <v>2026</v>
      </c>
      <c r="D45" t="str">
        <f t="shared" si="2"/>
        <v>Fevereiro</v>
      </c>
      <c r="E45" s="30">
        <v>435424.91</v>
      </c>
      <c r="F45" s="30">
        <v>127757.37</v>
      </c>
      <c r="G45" s="30">
        <v>29.34</v>
      </c>
      <c r="H45" s="30">
        <v>641902.44999999995</v>
      </c>
      <c r="I45" s="30">
        <v>2082.92</v>
      </c>
    </row>
    <row r="46" spans="1:9" x14ac:dyDescent="0.25">
      <c r="A46" s="2" t="s">
        <v>33</v>
      </c>
      <c r="B46" s="2" t="s">
        <v>46</v>
      </c>
      <c r="C46">
        <v>2026</v>
      </c>
      <c r="D46" t="str">
        <f t="shared" si="2"/>
        <v>Fevereiro</v>
      </c>
      <c r="E46" s="30">
        <v>36670.22</v>
      </c>
      <c r="F46" s="30">
        <v>9865.92</v>
      </c>
      <c r="G46" s="30">
        <v>26.9</v>
      </c>
      <c r="H46" s="30">
        <v>8858.15</v>
      </c>
      <c r="I46" s="30">
        <v>1181.1600000000001</v>
      </c>
    </row>
    <row r="47" spans="1:9" x14ac:dyDescent="0.25">
      <c r="A47" s="2" t="s">
        <v>34</v>
      </c>
      <c r="B47" s="2" t="s">
        <v>46</v>
      </c>
      <c r="C47">
        <v>2026</v>
      </c>
      <c r="D47" t="str">
        <f t="shared" si="2"/>
        <v>Fevereiro</v>
      </c>
      <c r="E47" s="31">
        <v>442357.97</v>
      </c>
      <c r="F47" s="31">
        <v>139219.76</v>
      </c>
      <c r="G47" s="31">
        <v>31.47</v>
      </c>
      <c r="H47" s="31">
        <v>210162.5</v>
      </c>
      <c r="I47" s="31">
        <v>144.9</v>
      </c>
    </row>
    <row r="48" spans="1:9" x14ac:dyDescent="0.25">
      <c r="A48" s="2" t="s">
        <v>4</v>
      </c>
      <c r="B48" s="2" t="s">
        <v>48</v>
      </c>
      <c r="C48">
        <v>2026</v>
      </c>
      <c r="D48" t="str">
        <f t="shared" si="2"/>
        <v>Fevereiro</v>
      </c>
      <c r="E48" s="32">
        <v>921998.32</v>
      </c>
      <c r="F48" s="32">
        <v>247164.22</v>
      </c>
      <c r="G48" s="32">
        <v>26.81</v>
      </c>
      <c r="H48" s="32">
        <v>631370.66</v>
      </c>
      <c r="I48" s="32">
        <v>8930.33</v>
      </c>
    </row>
    <row r="49" spans="1:9" x14ac:dyDescent="0.25">
      <c r="A49" s="2" t="s">
        <v>25</v>
      </c>
      <c r="B49" s="2" t="s">
        <v>48</v>
      </c>
      <c r="C49">
        <v>2026</v>
      </c>
      <c r="D49" t="str">
        <f t="shared" si="2"/>
        <v>Fevereiro</v>
      </c>
      <c r="E49" s="33">
        <v>916124.71</v>
      </c>
      <c r="F49" s="33">
        <v>347738.18</v>
      </c>
      <c r="G49" s="33">
        <v>37.96</v>
      </c>
      <c r="H49" s="33">
        <v>812777.64</v>
      </c>
      <c r="I49" s="33">
        <v>27410.03</v>
      </c>
    </row>
    <row r="50" spans="1:9" x14ac:dyDescent="0.25">
      <c r="A50" s="2" t="s">
        <v>26</v>
      </c>
      <c r="B50" s="2" t="s">
        <v>48</v>
      </c>
      <c r="C50">
        <v>2026</v>
      </c>
      <c r="D50" t="str">
        <f t="shared" si="2"/>
        <v>Fevereiro</v>
      </c>
      <c r="E50" s="34">
        <v>60692.56</v>
      </c>
      <c r="F50" s="34">
        <v>17539.509999999998</v>
      </c>
      <c r="G50" s="34">
        <v>28.9</v>
      </c>
      <c r="H50" s="34">
        <v>20901.14</v>
      </c>
      <c r="I50" s="34">
        <v>0</v>
      </c>
    </row>
    <row r="51" spans="1:9" x14ac:dyDescent="0.25">
      <c r="A51" s="2" t="s">
        <v>27</v>
      </c>
      <c r="B51" s="2" t="s">
        <v>48</v>
      </c>
      <c r="C51">
        <v>2026</v>
      </c>
      <c r="D51" t="str">
        <f t="shared" si="2"/>
        <v>Fevereiro</v>
      </c>
      <c r="E51" s="35">
        <v>428342.52</v>
      </c>
      <c r="F51" s="35">
        <v>120982.11</v>
      </c>
      <c r="G51" s="35">
        <v>28.24</v>
      </c>
      <c r="H51" s="35">
        <v>233114.78</v>
      </c>
      <c r="I51" s="35">
        <v>280.26</v>
      </c>
    </row>
    <row r="52" spans="1:9" x14ac:dyDescent="0.25">
      <c r="A52" s="2" t="s">
        <v>1</v>
      </c>
      <c r="B52" s="2" t="s">
        <v>49</v>
      </c>
      <c r="C52">
        <v>2026</v>
      </c>
      <c r="D52" t="str">
        <f t="shared" si="2"/>
        <v>Fevereiro</v>
      </c>
      <c r="E52" s="36">
        <v>3053383.99</v>
      </c>
      <c r="F52" s="36">
        <v>732519.55</v>
      </c>
      <c r="G52" s="36">
        <v>23.99</v>
      </c>
      <c r="H52" s="36">
        <v>2048630.2</v>
      </c>
      <c r="I52" s="36">
        <v>0</v>
      </c>
    </row>
    <row r="53" spans="1:9" x14ac:dyDescent="0.25">
      <c r="A53" s="2" t="s">
        <v>20</v>
      </c>
      <c r="B53" s="2" t="s">
        <v>49</v>
      </c>
      <c r="C53">
        <v>2026</v>
      </c>
      <c r="D53" t="str">
        <f t="shared" si="2"/>
        <v>Fevereiro</v>
      </c>
      <c r="E53" s="38">
        <v>804740.82</v>
      </c>
      <c r="F53" s="38">
        <v>226652.95</v>
      </c>
      <c r="G53" s="38">
        <v>28.16</v>
      </c>
      <c r="H53" s="38">
        <v>485401.91</v>
      </c>
      <c r="I53" s="38">
        <v>2609.4</v>
      </c>
    </row>
    <row r="54" spans="1:9" x14ac:dyDescent="0.25">
      <c r="A54" s="2" t="s">
        <v>21</v>
      </c>
      <c r="B54" s="2" t="s">
        <v>49</v>
      </c>
      <c r="C54">
        <v>2026</v>
      </c>
      <c r="D54" t="str">
        <f t="shared" si="2"/>
        <v>Fevereiro</v>
      </c>
      <c r="E54" s="40">
        <v>367849.88</v>
      </c>
      <c r="F54" s="40">
        <v>119057.77</v>
      </c>
      <c r="G54" s="40">
        <v>32.369999999999997</v>
      </c>
      <c r="H54" s="40">
        <v>213197.83</v>
      </c>
      <c r="I54" s="40">
        <v>524.4</v>
      </c>
    </row>
    <row r="55" spans="1:9" x14ac:dyDescent="0.25">
      <c r="A55" s="2" t="s">
        <v>22</v>
      </c>
      <c r="B55" s="2" t="s">
        <v>49</v>
      </c>
      <c r="C55">
        <v>2026</v>
      </c>
      <c r="D55" t="str">
        <f t="shared" si="2"/>
        <v>Fevereiro</v>
      </c>
      <c r="E55" s="39">
        <v>389663.34</v>
      </c>
      <c r="F55" s="39">
        <v>117016.59</v>
      </c>
      <c r="G55" s="39">
        <v>30.03</v>
      </c>
      <c r="H55" s="39">
        <v>248673.26</v>
      </c>
      <c r="I55" s="39">
        <v>6487.39</v>
      </c>
    </row>
    <row r="56" spans="1:9" x14ac:dyDescent="0.25">
      <c r="A56" s="2" t="s">
        <v>15</v>
      </c>
      <c r="B56" s="2" t="s">
        <v>50</v>
      </c>
      <c r="C56">
        <v>2026</v>
      </c>
      <c r="D56" t="str">
        <f t="shared" si="2"/>
        <v>Fevereiro</v>
      </c>
      <c r="E56" s="41">
        <v>1126303.6499999999</v>
      </c>
      <c r="F56" s="41">
        <v>133071.82</v>
      </c>
      <c r="G56" s="41">
        <v>11.81</v>
      </c>
      <c r="H56" s="41">
        <v>1125878.3400000001</v>
      </c>
      <c r="I56" s="41">
        <v>0</v>
      </c>
    </row>
    <row r="57" spans="1:9" x14ac:dyDescent="0.25">
      <c r="A57" s="2" t="s">
        <v>17</v>
      </c>
      <c r="B57" s="2" t="s">
        <v>50</v>
      </c>
      <c r="C57">
        <v>2026</v>
      </c>
      <c r="D57" t="str">
        <f t="shared" si="2"/>
        <v>Fevereiro</v>
      </c>
      <c r="E57" s="42">
        <v>2309568.2000000002</v>
      </c>
      <c r="F57" s="42">
        <v>407018.07</v>
      </c>
      <c r="G57" s="42">
        <v>17.62</v>
      </c>
      <c r="H57" s="42">
        <v>2070639.85</v>
      </c>
      <c r="I57" s="42">
        <v>74671.89</v>
      </c>
    </row>
    <row r="58" spans="1:9" x14ac:dyDescent="0.25">
      <c r="A58" s="2" t="s">
        <v>18</v>
      </c>
      <c r="B58" s="2" t="s">
        <v>50</v>
      </c>
      <c r="C58">
        <v>2026</v>
      </c>
      <c r="D58" t="str">
        <f t="shared" si="2"/>
        <v>Fevereiro</v>
      </c>
      <c r="E58" s="43">
        <v>148971.57999999999</v>
      </c>
      <c r="F58" s="43">
        <v>30314.06</v>
      </c>
      <c r="G58" s="43">
        <v>20.350000000000001</v>
      </c>
      <c r="H58" s="43">
        <v>127892.3</v>
      </c>
      <c r="I58" s="43">
        <v>2655.02</v>
      </c>
    </row>
    <row r="59" spans="1:9" x14ac:dyDescent="0.25">
      <c r="A59" s="2" t="s">
        <v>3</v>
      </c>
      <c r="B59" s="2" t="s">
        <v>51</v>
      </c>
      <c r="C59">
        <v>2026</v>
      </c>
      <c r="D59" t="str">
        <f t="shared" si="2"/>
        <v>Fevereiro</v>
      </c>
      <c r="E59" s="37">
        <v>1633687.31</v>
      </c>
      <c r="F59" s="37">
        <v>572394.26</v>
      </c>
      <c r="G59" s="37">
        <v>35.04</v>
      </c>
      <c r="H59" s="37">
        <v>1110507.6299999999</v>
      </c>
      <c r="I59" s="37">
        <v>1971.6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metas comprador</vt:lpstr>
      <vt:lpstr>Base ano anterior</vt:lpstr>
      <vt:lpstr>Base ano 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Mosele</dc:creator>
  <cp:lastModifiedBy>Renan Mosele</cp:lastModifiedBy>
  <dcterms:created xsi:type="dcterms:W3CDTF">2026-03-15T17:01:21Z</dcterms:created>
  <dcterms:modified xsi:type="dcterms:W3CDTF">2026-03-18T13:45:01Z</dcterms:modified>
</cp:coreProperties>
</file>